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 Tracker" sheetId="1" state="visible" r:id="rId1"/>
    <sheet name="Dashboard" sheetId="2" state="visible" r:id="rId2"/>
    <sheet name="Change Log" sheetId="3" state="visible" r:id="rId3"/>
    <sheet name="Reference" sheetId="4" state="visible" r:id="rId4"/>
  </sheets>
  <definedNames/>
  <calcPr calcId="124519" fullCalcOnLoad="1"/>
</workbook>
</file>

<file path=xl/styles.xml><?xml version="1.0" encoding="utf-8"?>
<styleSheet xmlns="http://schemas.openxmlformats.org/spreadsheetml/2006/main">
  <numFmts count="2">
    <numFmt numFmtId="164" formatCode="DD-MMM-YYYY"/>
    <numFmt numFmtId="165" formatCode="0.0&quot;%&quot;"/>
  </numFmts>
  <fonts count="9">
    <font>
      <name val="Calibri"/>
      <family val="2"/>
      <color theme="1"/>
      <sz val="11"/>
      <scheme val="minor"/>
    </font>
    <font>
      <name val="Calibri"/>
      <b val="1"/>
      <color rgb="00FFFFFF"/>
      <sz val="16"/>
    </font>
    <font>
      <name val="Calibri"/>
      <b val="1"/>
      <color rgb="00FFFFFF"/>
      <sz val="11"/>
    </font>
    <font>
      <name val="Calibri"/>
      <b val="1"/>
      <color rgb="00FFFFFF"/>
      <sz val="10"/>
    </font>
    <font>
      <name val="Calibri"/>
      <color rgb="00000000"/>
      <sz val="10"/>
    </font>
    <font>
      <name val="Calibri"/>
      <b val="1"/>
      <color rgb="002E75B6"/>
      <sz val="10"/>
    </font>
    <font>
      <name val="Calibri"/>
      <b val="1"/>
      <color rgb="00000000"/>
      <sz val="10"/>
    </font>
    <font>
      <name val="Calibri"/>
      <b val="1"/>
      <color rgb="001F3864"/>
      <sz val="14"/>
    </font>
    <font>
      <name val="Calibri"/>
      <b val="1"/>
      <color rgb="00FFFFFF"/>
      <sz val="14"/>
    </font>
  </fonts>
  <fills count="16">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A9D18E"/>
      </patternFill>
    </fill>
    <fill>
      <patternFill patternType="solid">
        <fgColor rgb="009DC3E6"/>
      </patternFill>
    </fill>
    <fill>
      <patternFill patternType="solid">
        <fgColor rgb="00FFE699"/>
      </patternFill>
    </fill>
    <fill>
      <patternFill patternType="solid">
        <fgColor rgb="00FFB3B3"/>
      </patternFill>
    </fill>
    <fill>
      <patternFill patternType="solid">
        <fgColor rgb="00FFD7D7"/>
      </patternFill>
    </fill>
    <fill>
      <patternFill patternType="solid">
        <fgColor rgb="00FFE5CC"/>
      </patternFill>
    </fill>
    <fill>
      <patternFill patternType="solid">
        <fgColor rgb="00FFF3CD"/>
      </patternFill>
    </fill>
    <fill>
      <patternFill patternType="solid">
        <fgColor rgb="00D9EAD3"/>
      </patternFill>
    </fill>
    <fill>
      <patternFill patternType="solid">
        <fgColor rgb="00FFD9B3"/>
      </patternFill>
    </fill>
    <fill>
      <patternFill patternType="solid">
        <fgColor rgb="00D9B3FF"/>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BDD7EE"/>
      </left>
      <right style="thin">
        <color rgb="00BDD7EE"/>
      </right>
      <top style="thin">
        <color rgb="00BDD7EE"/>
      </top>
      <bottom style="thin">
        <color rgb="00BDD7EE"/>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4" borderId="2" applyAlignment="1" pivotButton="0" quotePrefix="0" xfId="0">
      <alignment horizontal="left" vertical="center" wrapText="1"/>
    </xf>
    <xf numFmtId="164" fontId="4"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5" borderId="2" applyAlignment="1" pivotButton="0" quotePrefix="0" xfId="0">
      <alignment horizontal="left" vertical="center" wrapText="1"/>
    </xf>
    <xf numFmtId="164" fontId="4" fillId="5" borderId="2" applyAlignment="1" pivotButton="0" quotePrefix="0" xfId="0">
      <alignment horizontal="center" vertical="center"/>
    </xf>
    <xf numFmtId="0" fontId="6" fillId="3" borderId="2" applyAlignment="1" pivotButton="0" quotePrefix="0" xfId="0">
      <alignment horizontal="left" vertical="center"/>
    </xf>
    <xf numFmtId="0" fontId="7" fillId="5" borderId="2" applyAlignment="1" pivotButton="0" quotePrefix="0" xfId="0">
      <alignment horizontal="center" vertical="center"/>
    </xf>
    <xf numFmtId="0" fontId="3" fillId="2" borderId="2" applyAlignment="1" pivotButton="0" quotePrefix="0" xfId="0">
      <alignment horizontal="center" vertical="center" wrapText="1"/>
    </xf>
    <xf numFmtId="0" fontId="6" fillId="6" borderId="2" applyAlignment="1" pivotButton="0" quotePrefix="0" xfId="0">
      <alignment horizontal="left" vertical="center"/>
    </xf>
    <xf numFmtId="0" fontId="6" fillId="4" borderId="2" applyAlignment="1" pivotButton="0" quotePrefix="0" xfId="0">
      <alignment horizontal="center" vertical="center"/>
    </xf>
    <xf numFmtId="0" fontId="6" fillId="7" borderId="2" applyAlignment="1" pivotButton="0" quotePrefix="0" xfId="0">
      <alignment horizontal="left" vertical="center"/>
    </xf>
    <xf numFmtId="0" fontId="6" fillId="8" borderId="2" applyAlignment="1" pivotButton="0" quotePrefix="0" xfId="0">
      <alignment horizontal="left" vertical="center"/>
    </xf>
    <xf numFmtId="0" fontId="6" fillId="9" borderId="2" applyAlignment="1" pivotButton="0" quotePrefix="0" xfId="0">
      <alignment horizontal="left" vertical="center"/>
    </xf>
    <xf numFmtId="0" fontId="6" fillId="10" borderId="2" applyAlignment="1" pivotButton="0" quotePrefix="0" xfId="0">
      <alignment horizontal="left" vertical="center"/>
    </xf>
    <xf numFmtId="0" fontId="6" fillId="11" borderId="2" applyAlignment="1" pivotButton="0" quotePrefix="0" xfId="0">
      <alignment horizontal="left" vertical="center"/>
    </xf>
    <xf numFmtId="0" fontId="6" fillId="12" borderId="2" applyAlignment="1" pivotButton="0" quotePrefix="0" xfId="0">
      <alignment horizontal="left" vertical="center"/>
    </xf>
    <xf numFmtId="165" fontId="7" fillId="5" borderId="2" applyAlignment="1" pivotButton="0" quotePrefix="0" xfId="0">
      <alignment horizontal="center" vertical="center"/>
    </xf>
    <xf numFmtId="0" fontId="0" fillId="5" borderId="2" pivotButton="0" quotePrefix="0" xfId="0"/>
    <xf numFmtId="0" fontId="6" fillId="13" borderId="2" applyAlignment="1" pivotButton="0" quotePrefix="0" xfId="0">
      <alignment horizontal="left" vertical="center"/>
    </xf>
    <xf numFmtId="0" fontId="6" fillId="4" borderId="2" applyAlignment="1" pivotButton="0" quotePrefix="0" xfId="0">
      <alignment horizontal="left" vertical="center"/>
    </xf>
    <xf numFmtId="0" fontId="8" fillId="2" borderId="0" applyAlignment="1" pivotButton="0" quotePrefix="0" xfId="0">
      <alignment horizontal="center" vertical="center"/>
    </xf>
    <xf numFmtId="0" fontId="4" fillId="5" borderId="2" applyAlignment="1" pivotButton="0" quotePrefix="0" xfId="0">
      <alignment horizontal="left" vertical="center"/>
    </xf>
    <xf numFmtId="0" fontId="4" fillId="4" borderId="2" applyAlignment="1" pivotButton="0" quotePrefix="0" xfId="0">
      <alignment horizontal="left" vertical="center"/>
    </xf>
    <xf numFmtId="0" fontId="6" fillId="10" borderId="2" applyAlignment="1" pivotButton="0" quotePrefix="0" xfId="0">
      <alignment horizontal="center" vertical="center"/>
    </xf>
    <xf numFmtId="0" fontId="6" fillId="11" borderId="2" applyAlignment="1" pivotButton="0" quotePrefix="0" xfId="0">
      <alignment horizontal="center" vertical="center"/>
    </xf>
    <xf numFmtId="0" fontId="6" fillId="12" borderId="2" applyAlignment="1" pivotButton="0" quotePrefix="0" xfId="0">
      <alignment horizontal="center" vertical="center"/>
    </xf>
    <xf numFmtId="0" fontId="6" fillId="13" borderId="2" applyAlignment="1" pivotButton="0" quotePrefix="0" xfId="0">
      <alignment horizontal="center" vertical="center"/>
    </xf>
    <xf numFmtId="0" fontId="6" fillId="8" borderId="2" applyAlignment="1" pivotButton="0" quotePrefix="0" xfId="0">
      <alignment horizontal="center" vertical="center"/>
    </xf>
    <xf numFmtId="0" fontId="6" fillId="7" borderId="2" applyAlignment="1" pivotButton="0" quotePrefix="0" xfId="0">
      <alignment horizontal="center" vertical="center"/>
    </xf>
    <xf numFmtId="0" fontId="6" fillId="6" borderId="2" applyAlignment="1" pivotButton="0" quotePrefix="0" xfId="0">
      <alignment horizontal="center" vertical="center"/>
    </xf>
    <xf numFmtId="0" fontId="6" fillId="9" borderId="2" applyAlignment="1" pivotButton="0" quotePrefix="0" xfId="0">
      <alignment horizontal="center" vertical="center"/>
    </xf>
    <xf numFmtId="0" fontId="6" fillId="14" borderId="2" applyAlignment="1" pivotButton="0" quotePrefix="0" xfId="0">
      <alignment horizontal="center" vertical="center"/>
    </xf>
    <xf numFmtId="0" fontId="6" fillId="15" borderId="2" applyAlignment="1" pivotButton="0" quotePrefix="0" xfId="0">
      <alignment horizontal="center" vertical="center"/>
    </xf>
  </cellXfs>
  <cellStyles count="1">
    <cellStyle name="Normal" xfId="0" builtinId="0" hidden="0"/>
  </cellStyles>
  <dxfs count="10">
    <dxf>
      <font>
        <b val="1"/>
      </font>
      <fill>
        <patternFill patternType="solid">
          <fgColor rgb="00FFD7D7"/>
        </patternFill>
      </fill>
    </dxf>
    <dxf>
      <font>
        <b val="1"/>
      </font>
      <fill>
        <patternFill patternType="solid">
          <fgColor rgb="00FFE5CC"/>
        </patternFill>
      </fill>
    </dxf>
    <dxf>
      <font>
        <b val="1"/>
      </font>
      <fill>
        <patternFill patternType="solid">
          <fgColor rgb="00FFF3CD"/>
        </patternFill>
      </fill>
    </dxf>
    <dxf>
      <font>
        <b val="1"/>
      </font>
      <fill>
        <patternFill patternType="solid">
          <fgColor rgb="00D9EAD3"/>
        </patternFill>
      </fill>
    </dxf>
    <dxf>
      <fill>
        <patternFill patternType="solid">
          <fgColor rgb="00A9D18E"/>
        </patternFill>
      </fill>
    </dxf>
    <dxf>
      <fill>
        <patternFill patternType="solid">
          <fgColor rgb="009DC3E6"/>
        </patternFill>
      </fill>
    </dxf>
    <dxf>
      <fill>
        <patternFill patternType="solid">
          <fgColor rgb="00FFE699"/>
        </patternFill>
      </fill>
    </dxf>
    <dxf>
      <fill>
        <patternFill patternType="solid">
          <fgColor rgb="00FFB3B3"/>
        </patternFill>
      </fill>
    </dxf>
    <dxf>
      <fill>
        <patternFill patternType="solid">
          <fgColor rgb="00FFD9B3"/>
        </patternFill>
      </fill>
    </dxf>
    <dxf>
      <fill>
        <patternFill patternType="solid">
          <fgColor rgb="00D9B3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
  <sheetViews>
    <sheetView showGridLines="0" workbookViewId="0">
      <pane ySplit="3" topLeftCell="A4" activePane="bottomLeft" state="frozen"/>
      <selection pane="bottomLeft" activeCell="A1" sqref="A1"/>
    </sheetView>
  </sheetViews>
  <sheetFormatPr baseColWidth="8" defaultRowHeight="15"/>
  <cols>
    <col width="5" customWidth="1" min="1" max="1"/>
    <col width="13" customWidth="1" min="2" max="2"/>
    <col width="32" customWidth="1" min="3" max="3"/>
    <col width="40" customWidth="1" min="4" max="4"/>
    <col width="17" customWidth="1" min="5" max="5"/>
    <col width="12" customWidth="1" min="6" max="6"/>
    <col width="12" customWidth="1" min="7" max="7"/>
    <col width="18" customWidth="1" min="8" max="8"/>
    <col width="13" customWidth="1" min="9" max="9"/>
    <col width="13" customWidth="1" min="10" max="10"/>
    <col width="12" customWidth="1" min="11" max="11"/>
    <col width="13" customWidth="1" min="12" max="12"/>
    <col width="17" customWidth="1" min="13" max="13"/>
    <col width="14" customWidth="1" min="14" max="14"/>
    <col width="15" customWidth="1" min="15" max="15"/>
    <col width="13" customWidth="1" min="16" max="16"/>
    <col width="13" customWidth="1" min="17" max="17"/>
    <col width="35" customWidth="1" min="18" max="18"/>
    <col width="16" customWidth="1" min="19" max="19"/>
  </cols>
  <sheetData>
    <row r="1" ht="38" customHeight="1">
      <c r="A1" s="1" t="inlineStr">
        <is>
          <t>🛠  Annual Maintenance Project – Task Tracker</t>
        </is>
      </c>
    </row>
    <row r="2" ht="22" customHeight="1">
      <c r="A2" s="2" t="inlineStr">
        <is>
          <t>Web Development &amp; Software Maintenance  |  Staging &amp; Production Tracking</t>
        </is>
      </c>
    </row>
    <row r="3" ht="30" customHeight="1">
      <c r="A3" s="3" t="inlineStr">
        <is>
          <t>#</t>
        </is>
      </c>
      <c r="B3" s="3" t="inlineStr">
        <is>
          <t>Task ID</t>
        </is>
      </c>
      <c r="C3" s="3" t="inlineStr">
        <is>
          <t>Task Title</t>
        </is>
      </c>
      <c r="D3" s="3" t="inlineStr">
        <is>
          <t>Description</t>
        </is>
      </c>
      <c r="E3" s="3" t="inlineStr">
        <is>
          <t>Category</t>
        </is>
      </c>
      <c r="F3" s="3" t="inlineStr">
        <is>
          <t>Priority</t>
        </is>
      </c>
      <c r="G3" s="3" t="inlineStr">
        <is>
          <t>Priority %</t>
        </is>
      </c>
      <c r="H3" s="3" t="inlineStr">
        <is>
          <t>Assigned To</t>
        </is>
      </c>
      <c r="I3" s="3" t="inlineStr">
        <is>
          <t>Start Date</t>
        </is>
      </c>
      <c r="J3" s="3" t="inlineStr">
        <is>
          <t>Due Date</t>
        </is>
      </c>
      <c r="K3" s="3" t="inlineStr">
        <is>
          <t>Est. Hours</t>
        </is>
      </c>
      <c r="L3" s="3" t="inlineStr">
        <is>
          <t>Actual Hours</t>
        </is>
      </c>
      <c r="M3" s="3" t="inlineStr">
        <is>
          <t>Staging Status</t>
        </is>
      </c>
      <c r="N3" s="3" t="inlineStr">
        <is>
          <t>Staging Date</t>
        </is>
      </c>
      <c r="O3" s="3" t="inlineStr">
        <is>
          <t>Prod Status</t>
        </is>
      </c>
      <c r="P3" s="3" t="inlineStr">
        <is>
          <t>Prod Date</t>
        </is>
      </c>
      <c r="Q3" s="3" t="inlineStr">
        <is>
          <t>Progress %</t>
        </is>
      </c>
      <c r="R3" s="3" t="inlineStr">
        <is>
          <t>Notes</t>
        </is>
      </c>
      <c r="S3" s="3" t="inlineStr">
        <is>
          <t>Last Updated</t>
        </is>
      </c>
    </row>
    <row r="4" ht="22" customHeight="1">
      <c r="A4" s="4" t="n">
        <v>1</v>
      </c>
      <c r="B4" s="5">
        <f>IF(C4&lt;&gt;"","TASK-"&amp;TEXT(4-3,"000"),"")</f>
        <v/>
      </c>
      <c r="C4" s="6" t="n"/>
      <c r="D4" s="6" t="n"/>
      <c r="E4" s="4" t="n"/>
      <c r="F4" s="4" t="n"/>
      <c r="G4" s="4" t="n"/>
      <c r="H4" s="4" t="n"/>
      <c r="I4" s="7" t="n"/>
      <c r="J4" s="7" t="n"/>
      <c r="K4" s="4" t="n"/>
      <c r="L4" s="4" t="n"/>
      <c r="M4" s="4" t="n"/>
      <c r="N4" s="7" t="n"/>
      <c r="O4" s="4" t="n"/>
      <c r="P4" s="7" t="n"/>
      <c r="Q4" s="4" t="n"/>
      <c r="R4" s="6" t="n"/>
      <c r="S4" s="7">
        <f>IF(C4&lt;&gt;"",TODAY(),"")</f>
        <v/>
      </c>
    </row>
    <row r="5" ht="22" customHeight="1">
      <c r="A5" s="8" t="n">
        <v>2</v>
      </c>
      <c r="B5" s="9">
        <f>IF(C5&lt;&gt;"","TASK-"&amp;TEXT(5-3,"000"),"")</f>
        <v/>
      </c>
      <c r="C5" s="10" t="n"/>
      <c r="D5" s="10" t="n"/>
      <c r="E5" s="8" t="n"/>
      <c r="F5" s="8" t="n"/>
      <c r="G5" s="8" t="n"/>
      <c r="H5" s="8" t="n"/>
      <c r="I5" s="11" t="n"/>
      <c r="J5" s="11" t="n"/>
      <c r="K5" s="8" t="n"/>
      <c r="L5" s="8" t="n"/>
      <c r="M5" s="8" t="n"/>
      <c r="N5" s="11" t="n"/>
      <c r="O5" s="8" t="n"/>
      <c r="P5" s="11" t="n"/>
      <c r="Q5" s="8" t="n"/>
      <c r="R5" s="10" t="n"/>
      <c r="S5" s="11">
        <f>IF(C5&lt;&gt;"",TODAY(),"")</f>
        <v/>
      </c>
    </row>
    <row r="6" ht="22" customHeight="1">
      <c r="A6" s="4" t="n">
        <v>3</v>
      </c>
      <c r="B6" s="5">
        <f>IF(C6&lt;&gt;"","TASK-"&amp;TEXT(6-3,"000"),"")</f>
        <v/>
      </c>
      <c r="C6" s="6" t="n"/>
      <c r="D6" s="6" t="n"/>
      <c r="E6" s="4" t="n"/>
      <c r="F6" s="4" t="n"/>
      <c r="G6" s="4" t="n"/>
      <c r="H6" s="4" t="n"/>
      <c r="I6" s="7" t="n"/>
      <c r="J6" s="7" t="n"/>
      <c r="K6" s="4" t="n"/>
      <c r="L6" s="4" t="n"/>
      <c r="M6" s="4" t="n"/>
      <c r="N6" s="7" t="n"/>
      <c r="O6" s="4" t="n"/>
      <c r="P6" s="7" t="n"/>
      <c r="Q6" s="4" t="n"/>
      <c r="R6" s="6" t="n"/>
      <c r="S6" s="7">
        <f>IF(C6&lt;&gt;"",TODAY(),"")</f>
        <v/>
      </c>
    </row>
    <row r="7" ht="22" customHeight="1">
      <c r="A7" s="8" t="n">
        <v>4</v>
      </c>
      <c r="B7" s="9">
        <f>IF(C7&lt;&gt;"","TASK-"&amp;TEXT(7-3,"000"),"")</f>
        <v/>
      </c>
      <c r="C7" s="10" t="n"/>
      <c r="D7" s="10" t="n"/>
      <c r="E7" s="8" t="n"/>
      <c r="F7" s="8" t="n"/>
      <c r="G7" s="8" t="n"/>
      <c r="H7" s="8" t="n"/>
      <c r="I7" s="11" t="n"/>
      <c r="J7" s="11" t="n"/>
      <c r="K7" s="8" t="n"/>
      <c r="L7" s="8" t="n"/>
      <c r="M7" s="8" t="n"/>
      <c r="N7" s="11" t="n"/>
      <c r="O7" s="8" t="n"/>
      <c r="P7" s="11" t="n"/>
      <c r="Q7" s="8" t="n"/>
      <c r="R7" s="10" t="n"/>
      <c r="S7" s="11">
        <f>IF(C7&lt;&gt;"",TODAY(),"")</f>
        <v/>
      </c>
    </row>
    <row r="8" ht="22" customHeight="1">
      <c r="A8" s="4" t="n">
        <v>5</v>
      </c>
      <c r="B8" s="5">
        <f>IF(C8&lt;&gt;"","TASK-"&amp;TEXT(8-3,"000"),"")</f>
        <v/>
      </c>
      <c r="C8" s="6" t="n"/>
      <c r="D8" s="6" t="n"/>
      <c r="E8" s="4" t="n"/>
      <c r="F8" s="4" t="n"/>
      <c r="G8" s="4" t="n"/>
      <c r="H8" s="4" t="n"/>
      <c r="I8" s="7" t="n"/>
      <c r="J8" s="7" t="n"/>
      <c r="K8" s="4" t="n"/>
      <c r="L8" s="4" t="n"/>
      <c r="M8" s="4" t="n"/>
      <c r="N8" s="7" t="n"/>
      <c r="O8" s="4" t="n"/>
      <c r="P8" s="7" t="n"/>
      <c r="Q8" s="4" t="n"/>
      <c r="R8" s="6" t="n"/>
      <c r="S8" s="7">
        <f>IF(C8&lt;&gt;"",TODAY(),"")</f>
        <v/>
      </c>
    </row>
    <row r="9" ht="22" customHeight="1">
      <c r="A9" s="8" t="n">
        <v>6</v>
      </c>
      <c r="B9" s="9">
        <f>IF(C9&lt;&gt;"","TASK-"&amp;TEXT(9-3,"000"),"")</f>
        <v/>
      </c>
      <c r="C9" s="10" t="n"/>
      <c r="D9" s="10" t="n"/>
      <c r="E9" s="8" t="n"/>
      <c r="F9" s="8" t="n"/>
      <c r="G9" s="8" t="n"/>
      <c r="H9" s="8" t="n"/>
      <c r="I9" s="11" t="n"/>
      <c r="J9" s="11" t="n"/>
      <c r="K9" s="8" t="n"/>
      <c r="L9" s="8" t="n"/>
      <c r="M9" s="8" t="n"/>
      <c r="N9" s="11" t="n"/>
      <c r="O9" s="8" t="n"/>
      <c r="P9" s="11" t="n"/>
      <c r="Q9" s="8" t="n"/>
      <c r="R9" s="10" t="n"/>
      <c r="S9" s="11">
        <f>IF(C9&lt;&gt;"",TODAY(),"")</f>
        <v/>
      </c>
    </row>
    <row r="10" ht="22" customHeight="1">
      <c r="A10" s="4" t="n">
        <v>7</v>
      </c>
      <c r="B10" s="5">
        <f>IF(C10&lt;&gt;"","TASK-"&amp;TEXT(10-3,"000"),"")</f>
        <v/>
      </c>
      <c r="C10" s="6" t="n"/>
      <c r="D10" s="6" t="n"/>
      <c r="E10" s="4" t="n"/>
      <c r="F10" s="4" t="n"/>
      <c r="G10" s="4" t="n"/>
      <c r="H10" s="4" t="n"/>
      <c r="I10" s="7" t="n"/>
      <c r="J10" s="7" t="n"/>
      <c r="K10" s="4" t="n"/>
      <c r="L10" s="4" t="n"/>
      <c r="M10" s="4" t="n"/>
      <c r="N10" s="7" t="n"/>
      <c r="O10" s="4" t="n"/>
      <c r="P10" s="7" t="n"/>
      <c r="Q10" s="4" t="n"/>
      <c r="R10" s="6" t="n"/>
      <c r="S10" s="7">
        <f>IF(C10&lt;&gt;"",TODAY(),"")</f>
        <v/>
      </c>
    </row>
    <row r="11" ht="22" customHeight="1">
      <c r="A11" s="8" t="n">
        <v>8</v>
      </c>
      <c r="B11" s="9">
        <f>IF(C11&lt;&gt;"","TASK-"&amp;TEXT(11-3,"000"),"")</f>
        <v/>
      </c>
      <c r="C11" s="10" t="n"/>
      <c r="D11" s="10" t="n"/>
      <c r="E11" s="8" t="n"/>
      <c r="F11" s="8" t="n"/>
      <c r="G11" s="8" t="n"/>
      <c r="H11" s="8" t="n"/>
      <c r="I11" s="11" t="n"/>
      <c r="J11" s="11" t="n"/>
      <c r="K11" s="8" t="n"/>
      <c r="L11" s="8" t="n"/>
      <c r="M11" s="8" t="n"/>
      <c r="N11" s="11" t="n"/>
      <c r="O11" s="8" t="n"/>
      <c r="P11" s="11" t="n"/>
      <c r="Q11" s="8" t="n"/>
      <c r="R11" s="10" t="n"/>
      <c r="S11" s="11">
        <f>IF(C11&lt;&gt;"",TODAY(),"")</f>
        <v/>
      </c>
    </row>
    <row r="12" ht="22" customHeight="1">
      <c r="A12" s="4" t="n">
        <v>9</v>
      </c>
      <c r="B12" s="5">
        <f>IF(C12&lt;&gt;"","TASK-"&amp;TEXT(12-3,"000"),"")</f>
        <v/>
      </c>
      <c r="C12" s="6" t="n"/>
      <c r="D12" s="6" t="n"/>
      <c r="E12" s="4" t="n"/>
      <c r="F12" s="4" t="n"/>
      <c r="G12" s="4" t="n"/>
      <c r="H12" s="4" t="n"/>
      <c r="I12" s="7" t="n"/>
      <c r="J12" s="7" t="n"/>
      <c r="K12" s="4" t="n"/>
      <c r="L12" s="4" t="n"/>
      <c r="M12" s="4" t="n"/>
      <c r="N12" s="7" t="n"/>
      <c r="O12" s="4" t="n"/>
      <c r="P12" s="7" t="n"/>
      <c r="Q12" s="4" t="n"/>
      <c r="R12" s="6" t="n"/>
      <c r="S12" s="7">
        <f>IF(C12&lt;&gt;"",TODAY(),"")</f>
        <v/>
      </c>
    </row>
    <row r="13" ht="22" customHeight="1">
      <c r="A13" s="8" t="n">
        <v>10</v>
      </c>
      <c r="B13" s="9">
        <f>IF(C13&lt;&gt;"","TASK-"&amp;TEXT(13-3,"000"),"")</f>
        <v/>
      </c>
      <c r="C13" s="10" t="n"/>
      <c r="D13" s="10" t="n"/>
      <c r="E13" s="8" t="n"/>
      <c r="F13" s="8" t="n"/>
      <c r="G13" s="8" t="n"/>
      <c r="H13" s="8" t="n"/>
      <c r="I13" s="11" t="n"/>
      <c r="J13" s="11" t="n"/>
      <c r="K13" s="8" t="n"/>
      <c r="L13" s="8" t="n"/>
      <c r="M13" s="8" t="n"/>
      <c r="N13" s="11" t="n"/>
      <c r="O13" s="8" t="n"/>
      <c r="P13" s="11" t="n"/>
      <c r="Q13" s="8" t="n"/>
      <c r="R13" s="10" t="n"/>
      <c r="S13" s="11">
        <f>IF(C13&lt;&gt;"",TODAY(),"")</f>
        <v/>
      </c>
    </row>
    <row r="14" ht="22" customHeight="1">
      <c r="A14" s="4" t="n">
        <v>11</v>
      </c>
      <c r="B14" s="5">
        <f>IF(C14&lt;&gt;"","TASK-"&amp;TEXT(14-3,"000"),"")</f>
        <v/>
      </c>
      <c r="C14" s="6" t="n"/>
      <c r="D14" s="6" t="n"/>
      <c r="E14" s="4" t="n"/>
      <c r="F14" s="4" t="n"/>
      <c r="G14" s="4" t="n"/>
      <c r="H14" s="4" t="n"/>
      <c r="I14" s="7" t="n"/>
      <c r="J14" s="7" t="n"/>
      <c r="K14" s="4" t="n"/>
      <c r="L14" s="4" t="n"/>
      <c r="M14" s="4" t="n"/>
      <c r="N14" s="7" t="n"/>
      <c r="O14" s="4" t="n"/>
      <c r="P14" s="7" t="n"/>
      <c r="Q14" s="4" t="n"/>
      <c r="R14" s="6" t="n"/>
      <c r="S14" s="7">
        <f>IF(C14&lt;&gt;"",TODAY(),"")</f>
        <v/>
      </c>
    </row>
    <row r="15" ht="22" customHeight="1">
      <c r="A15" s="8" t="n">
        <v>12</v>
      </c>
      <c r="B15" s="9">
        <f>IF(C15&lt;&gt;"","TASK-"&amp;TEXT(15-3,"000"),"")</f>
        <v/>
      </c>
      <c r="C15" s="10" t="n"/>
      <c r="D15" s="10" t="n"/>
      <c r="E15" s="8" t="n"/>
      <c r="F15" s="8" t="n"/>
      <c r="G15" s="8" t="n"/>
      <c r="H15" s="8" t="n"/>
      <c r="I15" s="11" t="n"/>
      <c r="J15" s="11" t="n"/>
      <c r="K15" s="8" t="n"/>
      <c r="L15" s="8" t="n"/>
      <c r="M15" s="8" t="n"/>
      <c r="N15" s="11" t="n"/>
      <c r="O15" s="8" t="n"/>
      <c r="P15" s="11" t="n"/>
      <c r="Q15" s="8" t="n"/>
      <c r="R15" s="10" t="n"/>
      <c r="S15" s="11">
        <f>IF(C15&lt;&gt;"",TODAY(),"")</f>
        <v/>
      </c>
    </row>
    <row r="16" ht="22" customHeight="1">
      <c r="A16" s="4" t="n">
        <v>13</v>
      </c>
      <c r="B16" s="5">
        <f>IF(C16&lt;&gt;"","TASK-"&amp;TEXT(16-3,"000"),"")</f>
        <v/>
      </c>
      <c r="C16" s="6" t="n"/>
      <c r="D16" s="6" t="n"/>
      <c r="E16" s="4" t="n"/>
      <c r="F16" s="4" t="n"/>
      <c r="G16" s="4" t="n"/>
      <c r="H16" s="4" t="n"/>
      <c r="I16" s="7" t="n"/>
      <c r="J16" s="7" t="n"/>
      <c r="K16" s="4" t="n"/>
      <c r="L16" s="4" t="n"/>
      <c r="M16" s="4" t="n"/>
      <c r="N16" s="7" t="n"/>
      <c r="O16" s="4" t="n"/>
      <c r="P16" s="7" t="n"/>
      <c r="Q16" s="4" t="n"/>
      <c r="R16" s="6" t="n"/>
      <c r="S16" s="7">
        <f>IF(C16&lt;&gt;"",TODAY(),"")</f>
        <v/>
      </c>
    </row>
    <row r="17" ht="22" customHeight="1">
      <c r="A17" s="8" t="n">
        <v>14</v>
      </c>
      <c r="B17" s="9">
        <f>IF(C17&lt;&gt;"","TASK-"&amp;TEXT(17-3,"000"),"")</f>
        <v/>
      </c>
      <c r="C17" s="10" t="n"/>
      <c r="D17" s="10" t="n"/>
      <c r="E17" s="8" t="n"/>
      <c r="F17" s="8" t="n"/>
      <c r="G17" s="8" t="n"/>
      <c r="H17" s="8" t="n"/>
      <c r="I17" s="11" t="n"/>
      <c r="J17" s="11" t="n"/>
      <c r="K17" s="8" t="n"/>
      <c r="L17" s="8" t="n"/>
      <c r="M17" s="8" t="n"/>
      <c r="N17" s="11" t="n"/>
      <c r="O17" s="8" t="n"/>
      <c r="P17" s="11" t="n"/>
      <c r="Q17" s="8" t="n"/>
      <c r="R17" s="10" t="n"/>
      <c r="S17" s="11">
        <f>IF(C17&lt;&gt;"",TODAY(),"")</f>
        <v/>
      </c>
    </row>
    <row r="18" ht="22" customHeight="1">
      <c r="A18" s="4" t="n">
        <v>15</v>
      </c>
      <c r="B18" s="5">
        <f>IF(C18&lt;&gt;"","TASK-"&amp;TEXT(18-3,"000"),"")</f>
        <v/>
      </c>
      <c r="C18" s="6" t="n"/>
      <c r="D18" s="6" t="n"/>
      <c r="E18" s="4" t="n"/>
      <c r="F18" s="4" t="n"/>
      <c r="G18" s="4" t="n"/>
      <c r="H18" s="4" t="n"/>
      <c r="I18" s="7" t="n"/>
      <c r="J18" s="7" t="n"/>
      <c r="K18" s="4" t="n"/>
      <c r="L18" s="4" t="n"/>
      <c r="M18" s="4" t="n"/>
      <c r="N18" s="7" t="n"/>
      <c r="O18" s="4" t="n"/>
      <c r="P18" s="7" t="n"/>
      <c r="Q18" s="4" t="n"/>
      <c r="R18" s="6" t="n"/>
      <c r="S18" s="7">
        <f>IF(C18&lt;&gt;"",TODAY(),"")</f>
        <v/>
      </c>
    </row>
    <row r="19" ht="22" customHeight="1">
      <c r="A19" s="8" t="n">
        <v>16</v>
      </c>
      <c r="B19" s="9">
        <f>IF(C19&lt;&gt;"","TASK-"&amp;TEXT(19-3,"000"),"")</f>
        <v/>
      </c>
      <c r="C19" s="10" t="n"/>
      <c r="D19" s="10" t="n"/>
      <c r="E19" s="8" t="n"/>
      <c r="F19" s="8" t="n"/>
      <c r="G19" s="8" t="n"/>
      <c r="H19" s="8" t="n"/>
      <c r="I19" s="11" t="n"/>
      <c r="J19" s="11" t="n"/>
      <c r="K19" s="8" t="n"/>
      <c r="L19" s="8" t="n"/>
      <c r="M19" s="8" t="n"/>
      <c r="N19" s="11" t="n"/>
      <c r="O19" s="8" t="n"/>
      <c r="P19" s="11" t="n"/>
      <c r="Q19" s="8" t="n"/>
      <c r="R19" s="10" t="n"/>
      <c r="S19" s="11">
        <f>IF(C19&lt;&gt;"",TODAY(),"")</f>
        <v/>
      </c>
    </row>
    <row r="20" ht="22" customHeight="1">
      <c r="A20" s="4" t="n">
        <v>17</v>
      </c>
      <c r="B20" s="5">
        <f>IF(C20&lt;&gt;"","TASK-"&amp;TEXT(20-3,"000"),"")</f>
        <v/>
      </c>
      <c r="C20" s="6" t="n"/>
      <c r="D20" s="6" t="n"/>
      <c r="E20" s="4" t="n"/>
      <c r="F20" s="4" t="n"/>
      <c r="G20" s="4" t="n"/>
      <c r="H20" s="4" t="n"/>
      <c r="I20" s="7" t="n"/>
      <c r="J20" s="7" t="n"/>
      <c r="K20" s="4" t="n"/>
      <c r="L20" s="4" t="n"/>
      <c r="M20" s="4" t="n"/>
      <c r="N20" s="7" t="n"/>
      <c r="O20" s="4" t="n"/>
      <c r="P20" s="7" t="n"/>
      <c r="Q20" s="4" t="n"/>
      <c r="R20" s="6" t="n"/>
      <c r="S20" s="7">
        <f>IF(C20&lt;&gt;"",TODAY(),"")</f>
        <v/>
      </c>
    </row>
    <row r="21" ht="22" customHeight="1">
      <c r="A21" s="8" t="n">
        <v>18</v>
      </c>
      <c r="B21" s="9">
        <f>IF(C21&lt;&gt;"","TASK-"&amp;TEXT(21-3,"000"),"")</f>
        <v/>
      </c>
      <c r="C21" s="10" t="n"/>
      <c r="D21" s="10" t="n"/>
      <c r="E21" s="8" t="n"/>
      <c r="F21" s="8" t="n"/>
      <c r="G21" s="8" t="n"/>
      <c r="H21" s="8" t="n"/>
      <c r="I21" s="11" t="n"/>
      <c r="J21" s="11" t="n"/>
      <c r="K21" s="8" t="n"/>
      <c r="L21" s="8" t="n"/>
      <c r="M21" s="8" t="n"/>
      <c r="N21" s="11" t="n"/>
      <c r="O21" s="8" t="n"/>
      <c r="P21" s="11" t="n"/>
      <c r="Q21" s="8" t="n"/>
      <c r="R21" s="10" t="n"/>
      <c r="S21" s="11">
        <f>IF(C21&lt;&gt;"",TODAY(),"")</f>
        <v/>
      </c>
    </row>
    <row r="22" ht="22" customHeight="1">
      <c r="A22" s="4" t="n">
        <v>19</v>
      </c>
      <c r="B22" s="5">
        <f>IF(C22&lt;&gt;"","TASK-"&amp;TEXT(22-3,"000"),"")</f>
        <v/>
      </c>
      <c r="C22" s="6" t="n"/>
      <c r="D22" s="6" t="n"/>
      <c r="E22" s="4" t="n"/>
      <c r="F22" s="4" t="n"/>
      <c r="G22" s="4" t="n"/>
      <c r="H22" s="4" t="n"/>
      <c r="I22" s="7" t="n"/>
      <c r="J22" s="7" t="n"/>
      <c r="K22" s="4" t="n"/>
      <c r="L22" s="4" t="n"/>
      <c r="M22" s="4" t="n"/>
      <c r="N22" s="7" t="n"/>
      <c r="O22" s="4" t="n"/>
      <c r="P22" s="7" t="n"/>
      <c r="Q22" s="4" t="n"/>
      <c r="R22" s="6" t="n"/>
      <c r="S22" s="7">
        <f>IF(C22&lt;&gt;"",TODAY(),"")</f>
        <v/>
      </c>
    </row>
    <row r="23" ht="22" customHeight="1">
      <c r="A23" s="8" t="n">
        <v>20</v>
      </c>
      <c r="B23" s="9">
        <f>IF(C23&lt;&gt;"","TASK-"&amp;TEXT(23-3,"000"),"")</f>
        <v/>
      </c>
      <c r="C23" s="10" t="n"/>
      <c r="D23" s="10" t="n"/>
      <c r="E23" s="8" t="n"/>
      <c r="F23" s="8" t="n"/>
      <c r="G23" s="8" t="n"/>
      <c r="H23" s="8" t="n"/>
      <c r="I23" s="11" t="n"/>
      <c r="J23" s="11" t="n"/>
      <c r="K23" s="8" t="n"/>
      <c r="L23" s="8" t="n"/>
      <c r="M23" s="8" t="n"/>
      <c r="N23" s="11" t="n"/>
      <c r="O23" s="8" t="n"/>
      <c r="P23" s="11" t="n"/>
      <c r="Q23" s="8" t="n"/>
      <c r="R23" s="10" t="n"/>
      <c r="S23" s="11">
        <f>IF(C23&lt;&gt;"",TODAY(),"")</f>
        <v/>
      </c>
    </row>
    <row r="24" ht="22" customHeight="1">
      <c r="A24" s="4" t="n">
        <v>21</v>
      </c>
      <c r="B24" s="5">
        <f>IF(C24&lt;&gt;"","TASK-"&amp;TEXT(24-3,"000"),"")</f>
        <v/>
      </c>
      <c r="C24" s="6" t="n"/>
      <c r="D24" s="6" t="n"/>
      <c r="E24" s="4" t="n"/>
      <c r="F24" s="4" t="n"/>
      <c r="G24" s="4" t="n"/>
      <c r="H24" s="4" t="n"/>
      <c r="I24" s="7" t="n"/>
      <c r="J24" s="7" t="n"/>
      <c r="K24" s="4" t="n"/>
      <c r="L24" s="4" t="n"/>
      <c r="M24" s="4" t="n"/>
      <c r="N24" s="7" t="n"/>
      <c r="O24" s="4" t="n"/>
      <c r="P24" s="7" t="n"/>
      <c r="Q24" s="4" t="n"/>
      <c r="R24" s="6" t="n"/>
      <c r="S24" s="7">
        <f>IF(C24&lt;&gt;"",TODAY(),"")</f>
        <v/>
      </c>
    </row>
    <row r="25" ht="22" customHeight="1">
      <c r="A25" s="8" t="n">
        <v>22</v>
      </c>
      <c r="B25" s="9">
        <f>IF(C25&lt;&gt;"","TASK-"&amp;TEXT(25-3,"000"),"")</f>
        <v/>
      </c>
      <c r="C25" s="10" t="n"/>
      <c r="D25" s="10" t="n"/>
      <c r="E25" s="8" t="n"/>
      <c r="F25" s="8" t="n"/>
      <c r="G25" s="8" t="n"/>
      <c r="H25" s="8" t="n"/>
      <c r="I25" s="11" t="n"/>
      <c r="J25" s="11" t="n"/>
      <c r="K25" s="8" t="n"/>
      <c r="L25" s="8" t="n"/>
      <c r="M25" s="8" t="n"/>
      <c r="N25" s="11" t="n"/>
      <c r="O25" s="8" t="n"/>
      <c r="P25" s="11" t="n"/>
      <c r="Q25" s="8" t="n"/>
      <c r="R25" s="10" t="n"/>
      <c r="S25" s="11">
        <f>IF(C25&lt;&gt;"",TODAY(),"")</f>
        <v/>
      </c>
    </row>
    <row r="26" ht="22" customHeight="1">
      <c r="A26" s="4" t="n">
        <v>23</v>
      </c>
      <c r="B26" s="5">
        <f>IF(C26&lt;&gt;"","TASK-"&amp;TEXT(26-3,"000"),"")</f>
        <v/>
      </c>
      <c r="C26" s="6" t="n"/>
      <c r="D26" s="6" t="n"/>
      <c r="E26" s="4" t="n"/>
      <c r="F26" s="4" t="n"/>
      <c r="G26" s="4" t="n"/>
      <c r="H26" s="4" t="n"/>
      <c r="I26" s="7" t="n"/>
      <c r="J26" s="7" t="n"/>
      <c r="K26" s="4" t="n"/>
      <c r="L26" s="4" t="n"/>
      <c r="M26" s="4" t="n"/>
      <c r="N26" s="7" t="n"/>
      <c r="O26" s="4" t="n"/>
      <c r="P26" s="7" t="n"/>
      <c r="Q26" s="4" t="n"/>
      <c r="R26" s="6" t="n"/>
      <c r="S26" s="7">
        <f>IF(C26&lt;&gt;"",TODAY(),"")</f>
        <v/>
      </c>
    </row>
    <row r="27" ht="22" customHeight="1">
      <c r="A27" s="8" t="n">
        <v>24</v>
      </c>
      <c r="B27" s="9">
        <f>IF(C27&lt;&gt;"","TASK-"&amp;TEXT(27-3,"000"),"")</f>
        <v/>
      </c>
      <c r="C27" s="10" t="n"/>
      <c r="D27" s="10" t="n"/>
      <c r="E27" s="8" t="n"/>
      <c r="F27" s="8" t="n"/>
      <c r="G27" s="8" t="n"/>
      <c r="H27" s="8" t="n"/>
      <c r="I27" s="11" t="n"/>
      <c r="J27" s="11" t="n"/>
      <c r="K27" s="8" t="n"/>
      <c r="L27" s="8" t="n"/>
      <c r="M27" s="8" t="n"/>
      <c r="N27" s="11" t="n"/>
      <c r="O27" s="8" t="n"/>
      <c r="P27" s="11" t="n"/>
      <c r="Q27" s="8" t="n"/>
      <c r="R27" s="10" t="n"/>
      <c r="S27" s="11">
        <f>IF(C27&lt;&gt;"",TODAY(),"")</f>
        <v/>
      </c>
    </row>
    <row r="28" ht="22" customHeight="1">
      <c r="A28" s="4" t="n">
        <v>25</v>
      </c>
      <c r="B28" s="5">
        <f>IF(C28&lt;&gt;"","TASK-"&amp;TEXT(28-3,"000"),"")</f>
        <v/>
      </c>
      <c r="C28" s="6" t="n"/>
      <c r="D28" s="6" t="n"/>
      <c r="E28" s="4" t="n"/>
      <c r="F28" s="4" t="n"/>
      <c r="G28" s="4" t="n"/>
      <c r="H28" s="4" t="n"/>
      <c r="I28" s="7" t="n"/>
      <c r="J28" s="7" t="n"/>
      <c r="K28" s="4" t="n"/>
      <c r="L28" s="4" t="n"/>
      <c r="M28" s="4" t="n"/>
      <c r="N28" s="7" t="n"/>
      <c r="O28" s="4" t="n"/>
      <c r="P28" s="7" t="n"/>
      <c r="Q28" s="4" t="n"/>
      <c r="R28" s="6" t="n"/>
      <c r="S28" s="7">
        <f>IF(C28&lt;&gt;"",TODAY(),"")</f>
        <v/>
      </c>
    </row>
    <row r="29" ht="22" customHeight="1">
      <c r="A29" s="8" t="n">
        <v>26</v>
      </c>
      <c r="B29" s="9">
        <f>IF(C29&lt;&gt;"","TASK-"&amp;TEXT(29-3,"000"),"")</f>
        <v/>
      </c>
      <c r="C29" s="10" t="n"/>
      <c r="D29" s="10" t="n"/>
      <c r="E29" s="8" t="n"/>
      <c r="F29" s="8" t="n"/>
      <c r="G29" s="8" t="n"/>
      <c r="H29" s="8" t="n"/>
      <c r="I29" s="11" t="n"/>
      <c r="J29" s="11" t="n"/>
      <c r="K29" s="8" t="n"/>
      <c r="L29" s="8" t="n"/>
      <c r="M29" s="8" t="n"/>
      <c r="N29" s="11" t="n"/>
      <c r="O29" s="8" t="n"/>
      <c r="P29" s="11" t="n"/>
      <c r="Q29" s="8" t="n"/>
      <c r="R29" s="10" t="n"/>
      <c r="S29" s="11">
        <f>IF(C29&lt;&gt;"",TODAY(),"")</f>
        <v/>
      </c>
    </row>
    <row r="30" ht="22" customHeight="1">
      <c r="A30" s="4" t="n">
        <v>27</v>
      </c>
      <c r="B30" s="5">
        <f>IF(C30&lt;&gt;"","TASK-"&amp;TEXT(30-3,"000"),"")</f>
        <v/>
      </c>
      <c r="C30" s="6" t="n"/>
      <c r="D30" s="6" t="n"/>
      <c r="E30" s="4" t="n"/>
      <c r="F30" s="4" t="n"/>
      <c r="G30" s="4" t="n"/>
      <c r="H30" s="4" t="n"/>
      <c r="I30" s="7" t="n"/>
      <c r="J30" s="7" t="n"/>
      <c r="K30" s="4" t="n"/>
      <c r="L30" s="4" t="n"/>
      <c r="M30" s="4" t="n"/>
      <c r="N30" s="7" t="n"/>
      <c r="O30" s="4" t="n"/>
      <c r="P30" s="7" t="n"/>
      <c r="Q30" s="4" t="n"/>
      <c r="R30" s="6" t="n"/>
      <c r="S30" s="7">
        <f>IF(C30&lt;&gt;"",TODAY(),"")</f>
        <v/>
      </c>
    </row>
    <row r="31" ht="22" customHeight="1">
      <c r="A31" s="8" t="n">
        <v>28</v>
      </c>
      <c r="B31" s="9">
        <f>IF(C31&lt;&gt;"","TASK-"&amp;TEXT(31-3,"000"),"")</f>
        <v/>
      </c>
      <c r="C31" s="10" t="n"/>
      <c r="D31" s="10" t="n"/>
      <c r="E31" s="8" t="n"/>
      <c r="F31" s="8" t="n"/>
      <c r="G31" s="8" t="n"/>
      <c r="H31" s="8" t="n"/>
      <c r="I31" s="11" t="n"/>
      <c r="J31" s="11" t="n"/>
      <c r="K31" s="8" t="n"/>
      <c r="L31" s="8" t="n"/>
      <c r="M31" s="8" t="n"/>
      <c r="N31" s="11" t="n"/>
      <c r="O31" s="8" t="n"/>
      <c r="P31" s="11" t="n"/>
      <c r="Q31" s="8" t="n"/>
      <c r="R31" s="10" t="n"/>
      <c r="S31" s="11">
        <f>IF(C31&lt;&gt;"",TODAY(),"")</f>
        <v/>
      </c>
    </row>
    <row r="32" ht="22" customHeight="1">
      <c r="A32" s="4" t="n">
        <v>29</v>
      </c>
      <c r="B32" s="5">
        <f>IF(C32&lt;&gt;"","TASK-"&amp;TEXT(32-3,"000"),"")</f>
        <v/>
      </c>
      <c r="C32" s="6" t="n"/>
      <c r="D32" s="6" t="n"/>
      <c r="E32" s="4" t="n"/>
      <c r="F32" s="4" t="n"/>
      <c r="G32" s="4" t="n"/>
      <c r="H32" s="4" t="n"/>
      <c r="I32" s="7" t="n"/>
      <c r="J32" s="7" t="n"/>
      <c r="K32" s="4" t="n"/>
      <c r="L32" s="4" t="n"/>
      <c r="M32" s="4" t="n"/>
      <c r="N32" s="7" t="n"/>
      <c r="O32" s="4" t="n"/>
      <c r="P32" s="7" t="n"/>
      <c r="Q32" s="4" t="n"/>
      <c r="R32" s="6" t="n"/>
      <c r="S32" s="7">
        <f>IF(C32&lt;&gt;"",TODAY(),"")</f>
        <v/>
      </c>
    </row>
    <row r="33" ht="22" customHeight="1">
      <c r="A33" s="8" t="n">
        <v>30</v>
      </c>
      <c r="B33" s="9">
        <f>IF(C33&lt;&gt;"","TASK-"&amp;TEXT(33-3,"000"),"")</f>
        <v/>
      </c>
      <c r="C33" s="10" t="n"/>
      <c r="D33" s="10" t="n"/>
      <c r="E33" s="8" t="n"/>
      <c r="F33" s="8" t="n"/>
      <c r="G33" s="8" t="n"/>
      <c r="H33" s="8" t="n"/>
      <c r="I33" s="11" t="n"/>
      <c r="J33" s="11" t="n"/>
      <c r="K33" s="8" t="n"/>
      <c r="L33" s="8" t="n"/>
      <c r="M33" s="8" t="n"/>
      <c r="N33" s="11" t="n"/>
      <c r="O33" s="8" t="n"/>
      <c r="P33" s="11" t="n"/>
      <c r="Q33" s="8" t="n"/>
      <c r="R33" s="10" t="n"/>
      <c r="S33" s="11">
        <f>IF(C33&lt;&gt;"",TODAY(),"")</f>
        <v/>
      </c>
    </row>
    <row r="34" ht="22" customHeight="1">
      <c r="A34" s="4" t="n">
        <v>31</v>
      </c>
      <c r="B34" s="5">
        <f>IF(C34&lt;&gt;"","TASK-"&amp;TEXT(34-3,"000"),"")</f>
        <v/>
      </c>
      <c r="C34" s="6" t="n"/>
      <c r="D34" s="6" t="n"/>
      <c r="E34" s="4" t="n"/>
      <c r="F34" s="4" t="n"/>
      <c r="G34" s="4" t="n"/>
      <c r="H34" s="4" t="n"/>
      <c r="I34" s="7" t="n"/>
      <c r="J34" s="7" t="n"/>
      <c r="K34" s="4" t="n"/>
      <c r="L34" s="4" t="n"/>
      <c r="M34" s="4" t="n"/>
      <c r="N34" s="7" t="n"/>
      <c r="O34" s="4" t="n"/>
      <c r="P34" s="7" t="n"/>
      <c r="Q34" s="4" t="n"/>
      <c r="R34" s="6" t="n"/>
      <c r="S34" s="7">
        <f>IF(C34&lt;&gt;"",TODAY(),"")</f>
        <v/>
      </c>
    </row>
    <row r="35" ht="22" customHeight="1">
      <c r="A35" s="8" t="n">
        <v>32</v>
      </c>
      <c r="B35" s="9">
        <f>IF(C35&lt;&gt;"","TASK-"&amp;TEXT(35-3,"000"),"")</f>
        <v/>
      </c>
      <c r="C35" s="10" t="n"/>
      <c r="D35" s="10" t="n"/>
      <c r="E35" s="8" t="n"/>
      <c r="F35" s="8" t="n"/>
      <c r="G35" s="8" t="n"/>
      <c r="H35" s="8" t="n"/>
      <c r="I35" s="11" t="n"/>
      <c r="J35" s="11" t="n"/>
      <c r="K35" s="8" t="n"/>
      <c r="L35" s="8" t="n"/>
      <c r="M35" s="8" t="n"/>
      <c r="N35" s="11" t="n"/>
      <c r="O35" s="8" t="n"/>
      <c r="P35" s="11" t="n"/>
      <c r="Q35" s="8" t="n"/>
      <c r="R35" s="10" t="n"/>
      <c r="S35" s="11">
        <f>IF(C35&lt;&gt;"",TODAY(),"")</f>
        <v/>
      </c>
    </row>
    <row r="36" ht="22" customHeight="1">
      <c r="A36" s="4" t="n">
        <v>33</v>
      </c>
      <c r="B36" s="5">
        <f>IF(C36&lt;&gt;"","TASK-"&amp;TEXT(36-3,"000"),"")</f>
        <v/>
      </c>
      <c r="C36" s="6" t="n"/>
      <c r="D36" s="6" t="n"/>
      <c r="E36" s="4" t="n"/>
      <c r="F36" s="4" t="n"/>
      <c r="G36" s="4" t="n"/>
      <c r="H36" s="4" t="n"/>
      <c r="I36" s="7" t="n"/>
      <c r="J36" s="7" t="n"/>
      <c r="K36" s="4" t="n"/>
      <c r="L36" s="4" t="n"/>
      <c r="M36" s="4" t="n"/>
      <c r="N36" s="7" t="n"/>
      <c r="O36" s="4" t="n"/>
      <c r="P36" s="7" t="n"/>
      <c r="Q36" s="4" t="n"/>
      <c r="R36" s="6" t="n"/>
      <c r="S36" s="7">
        <f>IF(C36&lt;&gt;"",TODAY(),"")</f>
        <v/>
      </c>
    </row>
    <row r="37" ht="22" customHeight="1">
      <c r="A37" s="8" t="n">
        <v>34</v>
      </c>
      <c r="B37" s="9">
        <f>IF(C37&lt;&gt;"","TASK-"&amp;TEXT(37-3,"000"),"")</f>
        <v/>
      </c>
      <c r="C37" s="10" t="n"/>
      <c r="D37" s="10" t="n"/>
      <c r="E37" s="8" t="n"/>
      <c r="F37" s="8" t="n"/>
      <c r="G37" s="8" t="n"/>
      <c r="H37" s="8" t="n"/>
      <c r="I37" s="11" t="n"/>
      <c r="J37" s="11" t="n"/>
      <c r="K37" s="8" t="n"/>
      <c r="L37" s="8" t="n"/>
      <c r="M37" s="8" t="n"/>
      <c r="N37" s="11" t="n"/>
      <c r="O37" s="8" t="n"/>
      <c r="P37" s="11" t="n"/>
      <c r="Q37" s="8" t="n"/>
      <c r="R37" s="10" t="n"/>
      <c r="S37" s="11">
        <f>IF(C37&lt;&gt;"",TODAY(),"")</f>
        <v/>
      </c>
    </row>
    <row r="38" ht="22" customHeight="1">
      <c r="A38" s="4" t="n">
        <v>35</v>
      </c>
      <c r="B38" s="5">
        <f>IF(C38&lt;&gt;"","TASK-"&amp;TEXT(38-3,"000"),"")</f>
        <v/>
      </c>
      <c r="C38" s="6" t="n"/>
      <c r="D38" s="6" t="n"/>
      <c r="E38" s="4" t="n"/>
      <c r="F38" s="4" t="n"/>
      <c r="G38" s="4" t="n"/>
      <c r="H38" s="4" t="n"/>
      <c r="I38" s="7" t="n"/>
      <c r="J38" s="7" t="n"/>
      <c r="K38" s="4" t="n"/>
      <c r="L38" s="4" t="n"/>
      <c r="M38" s="4" t="n"/>
      <c r="N38" s="7" t="n"/>
      <c r="O38" s="4" t="n"/>
      <c r="P38" s="7" t="n"/>
      <c r="Q38" s="4" t="n"/>
      <c r="R38" s="6" t="n"/>
      <c r="S38" s="7">
        <f>IF(C38&lt;&gt;"",TODAY(),"")</f>
        <v/>
      </c>
    </row>
    <row r="39" ht="22" customHeight="1">
      <c r="A39" s="8" t="n">
        <v>36</v>
      </c>
      <c r="B39" s="9">
        <f>IF(C39&lt;&gt;"","TASK-"&amp;TEXT(39-3,"000"),"")</f>
        <v/>
      </c>
      <c r="C39" s="10" t="n"/>
      <c r="D39" s="10" t="n"/>
      <c r="E39" s="8" t="n"/>
      <c r="F39" s="8" t="n"/>
      <c r="G39" s="8" t="n"/>
      <c r="H39" s="8" t="n"/>
      <c r="I39" s="11" t="n"/>
      <c r="J39" s="11" t="n"/>
      <c r="K39" s="8" t="n"/>
      <c r="L39" s="8" t="n"/>
      <c r="M39" s="8" t="n"/>
      <c r="N39" s="11" t="n"/>
      <c r="O39" s="8" t="n"/>
      <c r="P39" s="11" t="n"/>
      <c r="Q39" s="8" t="n"/>
      <c r="R39" s="10" t="n"/>
      <c r="S39" s="11">
        <f>IF(C39&lt;&gt;"",TODAY(),"")</f>
        <v/>
      </c>
    </row>
    <row r="40" ht="22" customHeight="1">
      <c r="A40" s="4" t="n">
        <v>37</v>
      </c>
      <c r="B40" s="5">
        <f>IF(C40&lt;&gt;"","TASK-"&amp;TEXT(40-3,"000"),"")</f>
        <v/>
      </c>
      <c r="C40" s="6" t="n"/>
      <c r="D40" s="6" t="n"/>
      <c r="E40" s="4" t="n"/>
      <c r="F40" s="4" t="n"/>
      <c r="G40" s="4" t="n"/>
      <c r="H40" s="4" t="n"/>
      <c r="I40" s="7" t="n"/>
      <c r="J40" s="7" t="n"/>
      <c r="K40" s="4" t="n"/>
      <c r="L40" s="4" t="n"/>
      <c r="M40" s="4" t="n"/>
      <c r="N40" s="7" t="n"/>
      <c r="O40" s="4" t="n"/>
      <c r="P40" s="7" t="n"/>
      <c r="Q40" s="4" t="n"/>
      <c r="R40" s="6" t="n"/>
      <c r="S40" s="7">
        <f>IF(C40&lt;&gt;"",TODAY(),"")</f>
        <v/>
      </c>
    </row>
    <row r="41" ht="22" customHeight="1">
      <c r="A41" s="8" t="n">
        <v>38</v>
      </c>
      <c r="B41" s="9">
        <f>IF(C41&lt;&gt;"","TASK-"&amp;TEXT(41-3,"000"),"")</f>
        <v/>
      </c>
      <c r="C41" s="10" t="n"/>
      <c r="D41" s="10" t="n"/>
      <c r="E41" s="8" t="n"/>
      <c r="F41" s="8" t="n"/>
      <c r="G41" s="8" t="n"/>
      <c r="H41" s="8" t="n"/>
      <c r="I41" s="11" t="n"/>
      <c r="J41" s="11" t="n"/>
      <c r="K41" s="8" t="n"/>
      <c r="L41" s="8" t="n"/>
      <c r="M41" s="8" t="n"/>
      <c r="N41" s="11" t="n"/>
      <c r="O41" s="8" t="n"/>
      <c r="P41" s="11" t="n"/>
      <c r="Q41" s="8" t="n"/>
      <c r="R41" s="10" t="n"/>
      <c r="S41" s="11">
        <f>IF(C41&lt;&gt;"",TODAY(),"")</f>
        <v/>
      </c>
    </row>
    <row r="42" ht="22" customHeight="1">
      <c r="A42" s="4" t="n">
        <v>39</v>
      </c>
      <c r="B42" s="5">
        <f>IF(C42&lt;&gt;"","TASK-"&amp;TEXT(42-3,"000"),"")</f>
        <v/>
      </c>
      <c r="C42" s="6" t="n"/>
      <c r="D42" s="6" t="n"/>
      <c r="E42" s="4" t="n"/>
      <c r="F42" s="4" t="n"/>
      <c r="G42" s="4" t="n"/>
      <c r="H42" s="4" t="n"/>
      <c r="I42" s="7" t="n"/>
      <c r="J42" s="7" t="n"/>
      <c r="K42" s="4" t="n"/>
      <c r="L42" s="4" t="n"/>
      <c r="M42" s="4" t="n"/>
      <c r="N42" s="7" t="n"/>
      <c r="O42" s="4" t="n"/>
      <c r="P42" s="7" t="n"/>
      <c r="Q42" s="4" t="n"/>
      <c r="R42" s="6" t="n"/>
      <c r="S42" s="7">
        <f>IF(C42&lt;&gt;"",TODAY(),"")</f>
        <v/>
      </c>
    </row>
    <row r="43" ht="22" customHeight="1">
      <c r="A43" s="8" t="n">
        <v>40</v>
      </c>
      <c r="B43" s="9">
        <f>IF(C43&lt;&gt;"","TASK-"&amp;TEXT(43-3,"000"),"")</f>
        <v/>
      </c>
      <c r="C43" s="10" t="n"/>
      <c r="D43" s="10" t="n"/>
      <c r="E43" s="8" t="n"/>
      <c r="F43" s="8" t="n"/>
      <c r="G43" s="8" t="n"/>
      <c r="H43" s="8" t="n"/>
      <c r="I43" s="11" t="n"/>
      <c r="J43" s="11" t="n"/>
      <c r="K43" s="8" t="n"/>
      <c r="L43" s="8" t="n"/>
      <c r="M43" s="8" t="n"/>
      <c r="N43" s="11" t="n"/>
      <c r="O43" s="8" t="n"/>
      <c r="P43" s="11" t="n"/>
      <c r="Q43" s="8" t="n"/>
      <c r="R43" s="10" t="n"/>
      <c r="S43" s="11">
        <f>IF(C43&lt;&gt;"",TODAY(),"")</f>
        <v/>
      </c>
    </row>
    <row r="44" ht="22" customHeight="1">
      <c r="A44" s="4" t="n">
        <v>41</v>
      </c>
      <c r="B44" s="5">
        <f>IF(C44&lt;&gt;"","TASK-"&amp;TEXT(44-3,"000"),"")</f>
        <v/>
      </c>
      <c r="C44" s="6" t="n"/>
      <c r="D44" s="6" t="n"/>
      <c r="E44" s="4" t="n"/>
      <c r="F44" s="4" t="n"/>
      <c r="G44" s="4" t="n"/>
      <c r="H44" s="4" t="n"/>
      <c r="I44" s="7" t="n"/>
      <c r="J44" s="7" t="n"/>
      <c r="K44" s="4" t="n"/>
      <c r="L44" s="4" t="n"/>
      <c r="M44" s="4" t="n"/>
      <c r="N44" s="7" t="n"/>
      <c r="O44" s="4" t="n"/>
      <c r="P44" s="7" t="n"/>
      <c r="Q44" s="4" t="n"/>
      <c r="R44" s="6" t="n"/>
      <c r="S44" s="7">
        <f>IF(C44&lt;&gt;"",TODAY(),"")</f>
        <v/>
      </c>
    </row>
    <row r="45" ht="22" customHeight="1">
      <c r="A45" s="8" t="n">
        <v>42</v>
      </c>
      <c r="B45" s="9">
        <f>IF(C45&lt;&gt;"","TASK-"&amp;TEXT(45-3,"000"),"")</f>
        <v/>
      </c>
      <c r="C45" s="10" t="n"/>
      <c r="D45" s="10" t="n"/>
      <c r="E45" s="8" t="n"/>
      <c r="F45" s="8" t="n"/>
      <c r="G45" s="8" t="n"/>
      <c r="H45" s="8" t="n"/>
      <c r="I45" s="11" t="n"/>
      <c r="J45" s="11" t="n"/>
      <c r="K45" s="8" t="n"/>
      <c r="L45" s="8" t="n"/>
      <c r="M45" s="8" t="n"/>
      <c r="N45" s="11" t="n"/>
      <c r="O45" s="8" t="n"/>
      <c r="P45" s="11" t="n"/>
      <c r="Q45" s="8" t="n"/>
      <c r="R45" s="10" t="n"/>
      <c r="S45" s="11">
        <f>IF(C45&lt;&gt;"",TODAY(),"")</f>
        <v/>
      </c>
    </row>
    <row r="46" ht="22" customHeight="1">
      <c r="A46" s="4" t="n">
        <v>43</v>
      </c>
      <c r="B46" s="5">
        <f>IF(C46&lt;&gt;"","TASK-"&amp;TEXT(46-3,"000"),"")</f>
        <v/>
      </c>
      <c r="C46" s="6" t="n"/>
      <c r="D46" s="6" t="n"/>
      <c r="E46" s="4" t="n"/>
      <c r="F46" s="4" t="n"/>
      <c r="G46" s="4" t="n"/>
      <c r="H46" s="4" t="n"/>
      <c r="I46" s="7" t="n"/>
      <c r="J46" s="7" t="n"/>
      <c r="K46" s="4" t="n"/>
      <c r="L46" s="4" t="n"/>
      <c r="M46" s="4" t="n"/>
      <c r="N46" s="7" t="n"/>
      <c r="O46" s="4" t="n"/>
      <c r="P46" s="7" t="n"/>
      <c r="Q46" s="4" t="n"/>
      <c r="R46" s="6" t="n"/>
      <c r="S46" s="7">
        <f>IF(C46&lt;&gt;"",TODAY(),"")</f>
        <v/>
      </c>
    </row>
    <row r="47" ht="22" customHeight="1">
      <c r="A47" s="8" t="n">
        <v>44</v>
      </c>
      <c r="B47" s="9">
        <f>IF(C47&lt;&gt;"","TASK-"&amp;TEXT(47-3,"000"),"")</f>
        <v/>
      </c>
      <c r="C47" s="10" t="n"/>
      <c r="D47" s="10" t="n"/>
      <c r="E47" s="8" t="n"/>
      <c r="F47" s="8" t="n"/>
      <c r="G47" s="8" t="n"/>
      <c r="H47" s="8" t="n"/>
      <c r="I47" s="11" t="n"/>
      <c r="J47" s="11" t="n"/>
      <c r="K47" s="8" t="n"/>
      <c r="L47" s="8" t="n"/>
      <c r="M47" s="8" t="n"/>
      <c r="N47" s="11" t="n"/>
      <c r="O47" s="8" t="n"/>
      <c r="P47" s="11" t="n"/>
      <c r="Q47" s="8" t="n"/>
      <c r="R47" s="10" t="n"/>
      <c r="S47" s="11">
        <f>IF(C47&lt;&gt;"",TODAY(),"")</f>
        <v/>
      </c>
    </row>
    <row r="48" ht="22" customHeight="1">
      <c r="A48" s="4" t="n">
        <v>45</v>
      </c>
      <c r="B48" s="5">
        <f>IF(C48&lt;&gt;"","TASK-"&amp;TEXT(48-3,"000"),"")</f>
        <v/>
      </c>
      <c r="C48" s="6" t="n"/>
      <c r="D48" s="6" t="n"/>
      <c r="E48" s="4" t="n"/>
      <c r="F48" s="4" t="n"/>
      <c r="G48" s="4" t="n"/>
      <c r="H48" s="4" t="n"/>
      <c r="I48" s="7" t="n"/>
      <c r="J48" s="7" t="n"/>
      <c r="K48" s="4" t="n"/>
      <c r="L48" s="4" t="n"/>
      <c r="M48" s="4" t="n"/>
      <c r="N48" s="7" t="n"/>
      <c r="O48" s="4" t="n"/>
      <c r="P48" s="7" t="n"/>
      <c r="Q48" s="4" t="n"/>
      <c r="R48" s="6" t="n"/>
      <c r="S48" s="7">
        <f>IF(C48&lt;&gt;"",TODAY(),"")</f>
        <v/>
      </c>
    </row>
    <row r="49" ht="22" customHeight="1">
      <c r="A49" s="8" t="n">
        <v>46</v>
      </c>
      <c r="B49" s="9">
        <f>IF(C49&lt;&gt;"","TASK-"&amp;TEXT(49-3,"000"),"")</f>
        <v/>
      </c>
      <c r="C49" s="10" t="n"/>
      <c r="D49" s="10" t="n"/>
      <c r="E49" s="8" t="n"/>
      <c r="F49" s="8" t="n"/>
      <c r="G49" s="8" t="n"/>
      <c r="H49" s="8" t="n"/>
      <c r="I49" s="11" t="n"/>
      <c r="J49" s="11" t="n"/>
      <c r="K49" s="8" t="n"/>
      <c r="L49" s="8" t="n"/>
      <c r="M49" s="8" t="n"/>
      <c r="N49" s="11" t="n"/>
      <c r="O49" s="8" t="n"/>
      <c r="P49" s="11" t="n"/>
      <c r="Q49" s="8" t="n"/>
      <c r="R49" s="10" t="n"/>
      <c r="S49" s="11">
        <f>IF(C49&lt;&gt;"",TODAY(),"")</f>
        <v/>
      </c>
    </row>
    <row r="50" ht="22" customHeight="1">
      <c r="A50" s="4" t="n">
        <v>47</v>
      </c>
      <c r="B50" s="5">
        <f>IF(C50&lt;&gt;"","TASK-"&amp;TEXT(50-3,"000"),"")</f>
        <v/>
      </c>
      <c r="C50" s="6" t="n"/>
      <c r="D50" s="6" t="n"/>
      <c r="E50" s="4" t="n"/>
      <c r="F50" s="4" t="n"/>
      <c r="G50" s="4" t="n"/>
      <c r="H50" s="4" t="n"/>
      <c r="I50" s="7" t="n"/>
      <c r="J50" s="7" t="n"/>
      <c r="K50" s="4" t="n"/>
      <c r="L50" s="4" t="n"/>
      <c r="M50" s="4" t="n"/>
      <c r="N50" s="7" t="n"/>
      <c r="O50" s="4" t="n"/>
      <c r="P50" s="7" t="n"/>
      <c r="Q50" s="4" t="n"/>
      <c r="R50" s="6" t="n"/>
      <c r="S50" s="7">
        <f>IF(C50&lt;&gt;"",TODAY(),"")</f>
        <v/>
      </c>
    </row>
    <row r="51" ht="22" customHeight="1">
      <c r="A51" s="8" t="n">
        <v>48</v>
      </c>
      <c r="B51" s="9">
        <f>IF(C51&lt;&gt;"","TASK-"&amp;TEXT(51-3,"000"),"")</f>
        <v/>
      </c>
      <c r="C51" s="10" t="n"/>
      <c r="D51" s="10" t="n"/>
      <c r="E51" s="8" t="n"/>
      <c r="F51" s="8" t="n"/>
      <c r="G51" s="8" t="n"/>
      <c r="H51" s="8" t="n"/>
      <c r="I51" s="11" t="n"/>
      <c r="J51" s="11" t="n"/>
      <c r="K51" s="8" t="n"/>
      <c r="L51" s="8" t="n"/>
      <c r="M51" s="8" t="n"/>
      <c r="N51" s="11" t="n"/>
      <c r="O51" s="8" t="n"/>
      <c r="P51" s="11" t="n"/>
      <c r="Q51" s="8" t="n"/>
      <c r="R51" s="10" t="n"/>
      <c r="S51" s="11">
        <f>IF(C51&lt;&gt;"",TODAY(),"")</f>
        <v/>
      </c>
    </row>
    <row r="52" ht="22" customHeight="1">
      <c r="A52" s="4" t="n">
        <v>49</v>
      </c>
      <c r="B52" s="5">
        <f>IF(C52&lt;&gt;"","TASK-"&amp;TEXT(52-3,"000"),"")</f>
        <v/>
      </c>
      <c r="C52" s="6" t="n"/>
      <c r="D52" s="6" t="n"/>
      <c r="E52" s="4" t="n"/>
      <c r="F52" s="4" t="n"/>
      <c r="G52" s="4" t="n"/>
      <c r="H52" s="4" t="n"/>
      <c r="I52" s="7" t="n"/>
      <c r="J52" s="7" t="n"/>
      <c r="K52" s="4" t="n"/>
      <c r="L52" s="4" t="n"/>
      <c r="M52" s="4" t="n"/>
      <c r="N52" s="7" t="n"/>
      <c r="O52" s="4" t="n"/>
      <c r="P52" s="7" t="n"/>
      <c r="Q52" s="4" t="n"/>
      <c r="R52" s="6" t="n"/>
      <c r="S52" s="7">
        <f>IF(C52&lt;&gt;"",TODAY(),"")</f>
        <v/>
      </c>
    </row>
    <row r="53" ht="22" customHeight="1">
      <c r="A53" s="8" t="n">
        <v>50</v>
      </c>
      <c r="B53" s="9">
        <f>IF(C53&lt;&gt;"","TASK-"&amp;TEXT(53-3,"000"),"")</f>
        <v/>
      </c>
      <c r="C53" s="10" t="n"/>
      <c r="D53" s="10" t="n"/>
      <c r="E53" s="8" t="n"/>
      <c r="F53" s="8" t="n"/>
      <c r="G53" s="8" t="n"/>
      <c r="H53" s="8" t="n"/>
      <c r="I53" s="11" t="n"/>
      <c r="J53" s="11" t="n"/>
      <c r="K53" s="8" t="n"/>
      <c r="L53" s="8" t="n"/>
      <c r="M53" s="8" t="n"/>
      <c r="N53" s="11" t="n"/>
      <c r="O53" s="8" t="n"/>
      <c r="P53" s="11" t="n"/>
      <c r="Q53" s="8" t="n"/>
      <c r="R53" s="10" t="n"/>
      <c r="S53" s="11">
        <f>IF(C53&lt;&gt;"",TODAY(),"")</f>
        <v/>
      </c>
    </row>
  </sheetData>
  <mergeCells count="2">
    <mergeCell ref="A2:S2"/>
    <mergeCell ref="A1:S1"/>
  </mergeCells>
  <conditionalFormatting sqref="G4:G53">
    <cfRule type="colorScale" priority="1">
      <colorScale>
        <cfvo type="num" val="0"/>
        <cfvo type="num" val="50"/>
        <cfvo type="num" val="100"/>
        <color rgb="00FF0000"/>
        <color rgb="00FFFF00"/>
        <color rgb="0000B050"/>
      </colorScale>
    </cfRule>
  </conditionalFormatting>
  <conditionalFormatting sqref="Q4:Q53">
    <cfRule type="dataBar" priority="2">
      <dataBar>
        <cfvo type="num" val="0"/>
        <cfvo type="num" val="100"/>
        <color rgb="002E75B6"/>
      </dataBar>
    </cfRule>
  </conditionalFormatting>
  <conditionalFormatting sqref="F4:F53">
    <cfRule type="expression" priority="3" dxfId="0">
      <formula>$F4="Critical"</formula>
    </cfRule>
    <cfRule type="expression" priority="4" dxfId="1">
      <formula>$F4="High"</formula>
    </cfRule>
    <cfRule type="expression" priority="5" dxfId="2">
      <formula>$F4="Medium"</formula>
    </cfRule>
    <cfRule type="expression" priority="6" dxfId="3">
      <formula>$F4="Low"</formula>
    </cfRule>
  </conditionalFormatting>
  <conditionalFormatting sqref="M4:M53">
    <cfRule type="expression" priority="7" dxfId="4">
      <formula>$M4="Deployed"</formula>
    </cfRule>
    <cfRule type="expression" priority="8" dxfId="5">
      <formula>$M4="In Progress"</formula>
    </cfRule>
    <cfRule type="expression" priority="9" dxfId="6">
      <formula>$M4="Pending"</formula>
    </cfRule>
    <cfRule type="expression" priority="10" dxfId="7">
      <formula>$M4="Failed"</formula>
    </cfRule>
    <cfRule type="expression" priority="11" dxfId="8">
      <formula>$M4="Rolled Back"</formula>
    </cfRule>
    <cfRule type="expression" priority="12" dxfId="9">
      <formula>$M4="Hotfix Applied"</formula>
    </cfRule>
  </conditionalFormatting>
  <conditionalFormatting sqref="O4:O53">
    <cfRule type="expression" priority="13" dxfId="4">
      <formula>$O4="Deployed"</formula>
    </cfRule>
    <cfRule type="expression" priority="14" dxfId="5">
      <formula>$O4="In Progress"</formula>
    </cfRule>
    <cfRule type="expression" priority="15" dxfId="6">
      <formula>$O4="Pending"</formula>
    </cfRule>
    <cfRule type="expression" priority="16" dxfId="7">
      <formula>$O4="Failed"</formula>
    </cfRule>
    <cfRule type="expression" priority="17" dxfId="8">
      <formula>$O4="Rolled Back"</formula>
    </cfRule>
    <cfRule type="expression" priority="18" dxfId="9">
      <formula>$O4="Hotfix Applied"</formula>
    </cfRule>
  </conditionalFormatting>
  <dataValidations count="5">
    <dataValidation sqref="M4 M5 M6 M7 M8 M9 M10 M11 M12 M13 M14 M15 M16 M17 M18 M19 M20 M21 M22 M23 M24 M25 M26 M27 M28 M29 M30 M31 M32 M33 M34 M35 M36 M37 M38 M39 M40 M41 M42 M43 M44 M45 M46 M47 M48 M49 M50 M51 M52 M53" showDropDown="0" showInputMessage="0" showErrorMessage="1" allowBlank="1" type="list">
      <formula1>"Pending,In Progress,Deployed,Failed,Rolled Back"</formula1>
    </dataValidation>
    <dataValidation sqref="O4 O5 O6 O7 O8 O9 O10 O11 O12 O13 O14 O15 O16 O17 O18 O19 O20 O21 O22 O23 O24 O25 O26 O27 O28 O29 O30 O31 O32 O33 O34 O35 O36 O37 O38 O39 O40 O41 O42 O43 O44 O45 O46 O47 O48 O49 O50 O51 O52 O53" showDropDown="0" showInputMessage="0" showErrorMessage="1" allowBlank="1" type="list">
      <formula1>"Pending,Deployed,Failed,Rolled Back,Hotfix Applied"</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1" allowBlank="1" type="list">
      <formula1>"Critical,High,Medium,Low"</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1" allowBlank="1" type="list">
      <formula1>"Bug Fix,New Feature,Enhancement,Performance,Security,Content,Infrastructure,Database,Integration,Documentation"</formula1>
    </dataValidation>
    <dataValidation sqref="G4 G5 G6 G7 G8 G9 G10 G11 G12 G13 G14 G15 G16 G17 G18 G19 G20 G21 G22 G23 G24 G25 G26 G27 G28 G29 G30 G31 G32 G33 G34 G35 G36 G37 G38 G39 G40 G41 G42 G43 G44 G45 G46 G47 G48 G49 G50 G51 G52 G53 Q4 Q5 Q6 Q7 Q8 Q9 Q10 Q11 Q12 Q13 Q14 Q15 Q16 Q17 Q18 Q19 Q20 Q21 Q22 Q23 Q24 Q25 Q26 Q27 Q28 Q29 Q30 Q31 Q32 Q33 Q34 Q35 Q36 Q37 Q38 Q39 Q40 Q41 Q42 Q43 Q44 Q45 Q46 Q47 Q48 Q49 Q50 Q51 Q52 Q53" showDropDown="0" showInputMessage="0" showErrorMessage="1" allowBlank="0" errorTitle="Invalid" error="Enter 0–100" type="whole"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0" workbookViewId="0">
      <selection activeCell="A1" sqref="A1"/>
    </sheetView>
  </sheetViews>
  <sheetFormatPr baseColWidth="8" defaultRowHeight="15"/>
  <cols>
    <col width="26" customWidth="1" min="1" max="1"/>
    <col width="16" customWidth="1" min="2" max="2"/>
    <col width="16" customWidth="1" min="4" max="4"/>
    <col width="14" customWidth="1" min="5" max="5"/>
    <col width="16" customWidth="1" min="6" max="6"/>
    <col width="16" customWidth="1" min="7" max="7"/>
  </cols>
  <sheetData>
    <row r="1" ht="38" customHeight="1">
      <c r="A1" s="1" t="inlineStr">
        <is>
          <t>📊  Maintenance Project Dashboard</t>
        </is>
      </c>
    </row>
    <row r="3" ht="24" customHeight="1">
      <c r="A3" s="2" t="inlineStr">
        <is>
          <t>KEY METRICS</t>
        </is>
      </c>
      <c r="D3" s="2" t="inlineStr">
        <is>
          <t>PRIORITY BREAKDOWN</t>
        </is>
      </c>
    </row>
    <row r="4" ht="24" customHeight="1">
      <c r="A4" s="12" t="inlineStr">
        <is>
          <t>Total Tasks</t>
        </is>
      </c>
      <c r="B4" s="13">
        <f>COUNTA('Task Tracker'!C4:C53)</f>
        <v/>
      </c>
      <c r="D4" s="14" t="inlineStr">
        <is>
          <t>Priority</t>
        </is>
      </c>
      <c r="E4" s="14" t="inlineStr">
        <is>
          <t>Total Tasks</t>
        </is>
      </c>
      <c r="F4" s="14" t="inlineStr">
        <is>
          <t>Prod Deployed</t>
        </is>
      </c>
      <c r="G4" s="14" t="inlineStr">
        <is>
          <t>Pending/Other</t>
        </is>
      </c>
    </row>
    <row r="5" ht="22" customHeight="1">
      <c r="A5" s="15" t="inlineStr">
        <is>
          <t>Completed (Prod)</t>
        </is>
      </c>
      <c r="B5" s="13">
        <f>COUNTIF('Task Tracker'!O4:O53,"Deployed")</f>
        <v/>
      </c>
      <c r="D5" s="16" t="inlineStr">
        <is>
          <t>Critical</t>
        </is>
      </c>
      <c r="E5" s="8">
        <f>COUNTIF('Task Tracker'!$F$4:$F$53,D5)</f>
        <v/>
      </c>
      <c r="F5" s="8">
        <f>COUNTIFS('Task Tracker'!$F$4:$F$53,D5,'Task Tracker'!$O$4:$O$53,"Deployed")</f>
        <v/>
      </c>
      <c r="G5" s="8">
        <f>E5-F5</f>
        <v/>
      </c>
    </row>
    <row r="6" ht="22" customHeight="1">
      <c r="A6" s="17" t="inlineStr">
        <is>
          <t>In Progress</t>
        </is>
      </c>
      <c r="B6" s="13">
        <f>COUNTIF('Task Tracker'!O4:O53,"In Progress")</f>
        <v/>
      </c>
      <c r="D6" s="16" t="inlineStr">
        <is>
          <t>High</t>
        </is>
      </c>
      <c r="E6" s="8">
        <f>COUNTIF('Task Tracker'!$F$4:$F$53,D6)</f>
        <v/>
      </c>
      <c r="F6" s="8">
        <f>COUNTIFS('Task Tracker'!$F$4:$F$53,D6,'Task Tracker'!$O$4:$O$53,"Deployed")</f>
        <v/>
      </c>
      <c r="G6" s="8">
        <f>E6-F6</f>
        <v/>
      </c>
    </row>
    <row r="7" ht="22" customHeight="1">
      <c r="A7" s="18" t="inlineStr">
        <is>
          <t>Pending</t>
        </is>
      </c>
      <c r="B7" s="13">
        <f>COUNTIF('Task Tracker'!O4:O53,"Pending")</f>
        <v/>
      </c>
      <c r="D7" s="16" t="inlineStr">
        <is>
          <t>Medium</t>
        </is>
      </c>
      <c r="E7" s="8">
        <f>COUNTIF('Task Tracker'!$F$4:$F$53,D7)</f>
        <v/>
      </c>
      <c r="F7" s="8">
        <f>COUNTIFS('Task Tracker'!$F$4:$F$53,D7,'Task Tracker'!$O$4:$O$53,"Deployed")</f>
        <v/>
      </c>
      <c r="G7" s="8">
        <f>E7-F7</f>
        <v/>
      </c>
    </row>
    <row r="8" ht="22" customHeight="1">
      <c r="A8" s="19" t="inlineStr">
        <is>
          <t>Failed / Rolled Back</t>
        </is>
      </c>
      <c r="B8" s="13">
        <f>COUNTIF('Task Tracker'!O4:O53,"Failed")+COUNTIF('Task Tracker'!O4:O53,"Rolled Back")</f>
        <v/>
      </c>
      <c r="D8" s="16" t="inlineStr">
        <is>
          <t>Low</t>
        </is>
      </c>
      <c r="E8" s="8">
        <f>COUNTIF('Task Tracker'!$F$4:$F$53,D8)</f>
        <v/>
      </c>
      <c r="F8" s="8">
        <f>COUNTIFS('Task Tracker'!$F$4:$F$53,D8,'Task Tracker'!$O$4:$O$53,"Deployed")</f>
        <v/>
      </c>
      <c r="G8" s="8">
        <f>E8-F8</f>
        <v/>
      </c>
    </row>
    <row r="9" ht="24" customHeight="1">
      <c r="A9" s="20" t="inlineStr">
        <is>
          <t>Critical Tasks</t>
        </is>
      </c>
      <c r="B9" s="13">
        <f>COUNTIF('Task Tracker'!F4:F53,"Critical")</f>
        <v/>
      </c>
      <c r="D9" s="2" t="inlineStr">
        <is>
          <t>ENVIRONMENT STATUS SUMMARY</t>
        </is>
      </c>
    </row>
    <row r="10" ht="22" customHeight="1">
      <c r="A10" s="21" t="inlineStr">
        <is>
          <t>High Priority</t>
        </is>
      </c>
      <c r="B10" s="13">
        <f>COUNTIF('Task Tracker'!F4:F53,"High")</f>
        <v/>
      </c>
      <c r="D10" s="14" t="inlineStr">
        <is>
          <t>Status</t>
        </is>
      </c>
      <c r="E10" s="14" t="inlineStr">
        <is>
          <t>Staging</t>
        </is>
      </c>
      <c r="F10" s="14" t="inlineStr">
        <is>
          <t>Production</t>
        </is>
      </c>
      <c r="G10" s="14" t="inlineStr"/>
    </row>
    <row r="11" ht="22" customHeight="1">
      <c r="A11" s="22" t="inlineStr">
        <is>
          <t>Avg Priority %</t>
        </is>
      </c>
      <c r="B11" s="23">
        <f>IFERROR(AVERAGEIF('Task Tracker'!C4:C53,"&lt;&gt;",'Task Tracker'!G4:G53),0)</f>
        <v/>
      </c>
      <c r="D11" s="4" t="inlineStr">
        <is>
          <t>Pending</t>
        </is>
      </c>
      <c r="E11" s="8">
        <f>COUNTIF('Task Tracker'!$M$4:$M$53,D11)</f>
        <v/>
      </c>
      <c r="F11" s="8">
        <f>COUNTIF('Task Tracker'!$O$4:$O$53,D11)</f>
        <v/>
      </c>
      <c r="G11" s="24" t="n"/>
    </row>
    <row r="12" ht="22" customHeight="1">
      <c r="A12" s="25" t="inlineStr">
        <is>
          <t>Avg Progress %</t>
        </is>
      </c>
      <c r="B12" s="23">
        <f>IFERROR(AVERAGEIF('Task Tracker'!C4:C53,"&lt;&gt;",'Task Tracker'!Q4:Q53),0)</f>
        <v/>
      </c>
      <c r="D12" s="4" t="inlineStr">
        <is>
          <t>In Progress</t>
        </is>
      </c>
      <c r="E12" s="8">
        <f>COUNTIF('Task Tracker'!$M$4:$M$53,D12)</f>
        <v/>
      </c>
      <c r="F12" s="8">
        <f>COUNTIF('Task Tracker'!$O$4:$O$53,D12)</f>
        <v/>
      </c>
      <c r="G12" s="24" t="n"/>
    </row>
    <row r="13" ht="22" customHeight="1">
      <c r="A13" s="26" t="inlineStr">
        <is>
          <t>Total Est. Hours</t>
        </is>
      </c>
      <c r="B13" s="13">
        <f>SUM('Task Tracker'!K4:K53)</f>
        <v/>
      </c>
      <c r="D13" s="4" t="inlineStr">
        <is>
          <t>Deployed</t>
        </is>
      </c>
      <c r="E13" s="8">
        <f>COUNTIF('Task Tracker'!$M$4:$M$53,D13)</f>
        <v/>
      </c>
      <c r="F13" s="8">
        <f>COUNTIF('Task Tracker'!$O$4:$O$53,D13)</f>
        <v/>
      </c>
      <c r="G13" s="24" t="n"/>
    </row>
    <row r="14" ht="22" customHeight="1">
      <c r="A14" s="26" t="inlineStr">
        <is>
          <t>Total Actual Hours</t>
        </is>
      </c>
      <c r="B14" s="13">
        <f>SUM('Task Tracker'!L4:L53)</f>
        <v/>
      </c>
      <c r="D14" s="4" t="inlineStr">
        <is>
          <t>Failed</t>
        </is>
      </c>
      <c r="E14" s="8">
        <f>COUNTIF('Task Tracker'!$M$4:$M$53,D14)</f>
        <v/>
      </c>
      <c r="F14" s="8">
        <f>COUNTIF('Task Tracker'!$O$4:$O$53,D14)</f>
        <v/>
      </c>
      <c r="G14" s="24" t="n"/>
    </row>
    <row r="15" ht="22" customHeight="1">
      <c r="A15" s="19" t="inlineStr">
        <is>
          <t>Overdue Tasks</t>
        </is>
      </c>
      <c r="B15" s="13">
        <f>SUMPRODUCT(('Task Tracker'!J4:J53&lt;TODAY())*('Task Tracker'!O4:O53&lt;&gt;"Deployed")*('Task Tracker'!C4:C53&lt;&gt;""))</f>
        <v/>
      </c>
      <c r="D15" s="4" t="inlineStr">
        <is>
          <t>Rolled Back</t>
        </is>
      </c>
      <c r="E15" s="8">
        <f>COUNTIF('Task Tracker'!$M$4:$M$53,D15)</f>
        <v/>
      </c>
      <c r="F15" s="8">
        <f>COUNTIF('Task Tracker'!$O$4:$O$53,D15)</f>
        <v/>
      </c>
      <c r="G15" s="24" t="n"/>
    </row>
  </sheetData>
  <mergeCells count="4">
    <mergeCell ref="D9:G9"/>
    <mergeCell ref="A3:B3"/>
    <mergeCell ref="A1:L1"/>
    <mergeCell ref="D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2"/>
  <sheetViews>
    <sheetView showGridLines="0" workbookViewId="0">
      <pane ySplit="2" topLeftCell="A3" activePane="bottomLeft" state="frozen"/>
      <selection pane="bottomLeft" activeCell="A1" sqref="A1"/>
    </sheetView>
  </sheetViews>
  <sheetFormatPr baseColWidth="8" defaultRowHeight="15"/>
  <cols>
    <col width="5" customWidth="1" min="1" max="1"/>
    <col width="14" customWidth="1" min="2" max="2"/>
    <col width="12" customWidth="1" min="3" max="3"/>
    <col width="18" customWidth="1" min="4" max="4"/>
    <col width="18" customWidth="1" min="5" max="5"/>
    <col width="25" customWidth="1" min="6" max="6"/>
    <col width="25" customWidth="1" min="7" max="7"/>
    <col width="40" customWidth="1" min="8" max="8"/>
  </cols>
  <sheetData>
    <row r="1" ht="32" customHeight="1">
      <c r="A1" s="27" t="inlineStr">
        <is>
          <t>📋  Change Log &amp; Update History</t>
        </is>
      </c>
    </row>
    <row r="2" ht="24" customHeight="1">
      <c r="A2" s="14" t="inlineStr">
        <is>
          <t>#</t>
        </is>
      </c>
      <c r="B2" s="14" t="inlineStr">
        <is>
          <t>Date</t>
        </is>
      </c>
      <c r="C2" s="14" t="inlineStr">
        <is>
          <t>Task ID</t>
        </is>
      </c>
      <c r="D2" s="14" t="inlineStr">
        <is>
          <t>Changed By</t>
        </is>
      </c>
      <c r="E2" s="14" t="inlineStr">
        <is>
          <t>Change Type</t>
        </is>
      </c>
      <c r="F2" s="14" t="inlineStr">
        <is>
          <t>Old Value</t>
        </is>
      </c>
      <c r="G2" s="14" t="inlineStr">
        <is>
          <t>New Value</t>
        </is>
      </c>
      <c r="H2" s="14" t="inlineStr">
        <is>
          <t>Comments</t>
        </is>
      </c>
    </row>
    <row r="3" ht="20" customHeight="1">
      <c r="A3" s="8" t="n">
        <v>1</v>
      </c>
      <c r="B3" s="11" t="n"/>
      <c r="C3" s="8" t="n"/>
      <c r="D3" s="28" t="n"/>
      <c r="E3" s="8" t="n"/>
      <c r="F3" s="28" t="n"/>
      <c r="G3" s="28" t="n"/>
      <c r="H3" s="28" t="n"/>
    </row>
    <row r="4" ht="20" customHeight="1">
      <c r="A4" s="4" t="n">
        <v>2</v>
      </c>
      <c r="B4" s="7" t="n"/>
      <c r="C4" s="4" t="n"/>
      <c r="D4" s="29" t="n"/>
      <c r="E4" s="4" t="n"/>
      <c r="F4" s="29" t="n"/>
      <c r="G4" s="29" t="n"/>
      <c r="H4" s="29" t="n"/>
    </row>
    <row r="5" ht="20" customHeight="1">
      <c r="A5" s="8" t="n">
        <v>3</v>
      </c>
      <c r="B5" s="11" t="n"/>
      <c r="C5" s="8" t="n"/>
      <c r="D5" s="28" t="n"/>
      <c r="E5" s="8" t="n"/>
      <c r="F5" s="28" t="n"/>
      <c r="G5" s="28" t="n"/>
      <c r="H5" s="28" t="n"/>
    </row>
    <row r="6" ht="20" customHeight="1">
      <c r="A6" s="4" t="n">
        <v>4</v>
      </c>
      <c r="B6" s="7" t="n"/>
      <c r="C6" s="4" t="n"/>
      <c r="D6" s="29" t="n"/>
      <c r="E6" s="4" t="n"/>
      <c r="F6" s="29" t="n"/>
      <c r="G6" s="29" t="n"/>
      <c r="H6" s="29" t="n"/>
    </row>
    <row r="7" ht="20" customHeight="1">
      <c r="A7" s="8" t="n">
        <v>5</v>
      </c>
      <c r="B7" s="11" t="n"/>
      <c r="C7" s="8" t="n"/>
      <c r="D7" s="28" t="n"/>
      <c r="E7" s="8" t="n"/>
      <c r="F7" s="28" t="n"/>
      <c r="G7" s="28" t="n"/>
      <c r="H7" s="28" t="n"/>
    </row>
    <row r="8" ht="20" customHeight="1">
      <c r="A8" s="4" t="n">
        <v>6</v>
      </c>
      <c r="B8" s="7" t="n"/>
      <c r="C8" s="4" t="n"/>
      <c r="D8" s="29" t="n"/>
      <c r="E8" s="4" t="n"/>
      <c r="F8" s="29" t="n"/>
      <c r="G8" s="29" t="n"/>
      <c r="H8" s="29" t="n"/>
    </row>
    <row r="9" ht="20" customHeight="1">
      <c r="A9" s="8" t="n">
        <v>7</v>
      </c>
      <c r="B9" s="11" t="n"/>
      <c r="C9" s="8" t="n"/>
      <c r="D9" s="28" t="n"/>
      <c r="E9" s="8" t="n"/>
      <c r="F9" s="28" t="n"/>
      <c r="G9" s="28" t="n"/>
      <c r="H9" s="28" t="n"/>
    </row>
    <row r="10" ht="20" customHeight="1">
      <c r="A10" s="4" t="n">
        <v>8</v>
      </c>
      <c r="B10" s="7" t="n"/>
      <c r="C10" s="4" t="n"/>
      <c r="D10" s="29" t="n"/>
      <c r="E10" s="4" t="n"/>
      <c r="F10" s="29" t="n"/>
      <c r="G10" s="29" t="n"/>
      <c r="H10" s="29" t="n"/>
    </row>
    <row r="11" ht="20" customHeight="1">
      <c r="A11" s="8" t="n">
        <v>9</v>
      </c>
      <c r="B11" s="11" t="n"/>
      <c r="C11" s="8" t="n"/>
      <c r="D11" s="28" t="n"/>
      <c r="E11" s="8" t="n"/>
      <c r="F11" s="28" t="n"/>
      <c r="G11" s="28" t="n"/>
      <c r="H11" s="28" t="n"/>
    </row>
    <row r="12" ht="20" customHeight="1">
      <c r="A12" s="4" t="n">
        <v>10</v>
      </c>
      <c r="B12" s="7" t="n"/>
      <c r="C12" s="4" t="n"/>
      <c r="D12" s="29" t="n"/>
      <c r="E12" s="4" t="n"/>
      <c r="F12" s="29" t="n"/>
      <c r="G12" s="29" t="n"/>
      <c r="H12" s="29" t="n"/>
    </row>
    <row r="13" ht="20" customHeight="1">
      <c r="A13" s="8" t="n">
        <v>11</v>
      </c>
      <c r="B13" s="11" t="n"/>
      <c r="C13" s="8" t="n"/>
      <c r="D13" s="28" t="n"/>
      <c r="E13" s="8" t="n"/>
      <c r="F13" s="28" t="n"/>
      <c r="G13" s="28" t="n"/>
      <c r="H13" s="28" t="n"/>
    </row>
    <row r="14" ht="20" customHeight="1">
      <c r="A14" s="4" t="n">
        <v>12</v>
      </c>
      <c r="B14" s="7" t="n"/>
      <c r="C14" s="4" t="n"/>
      <c r="D14" s="29" t="n"/>
      <c r="E14" s="4" t="n"/>
      <c r="F14" s="29" t="n"/>
      <c r="G14" s="29" t="n"/>
      <c r="H14" s="29" t="n"/>
    </row>
    <row r="15" ht="20" customHeight="1">
      <c r="A15" s="8" t="n">
        <v>13</v>
      </c>
      <c r="B15" s="11" t="n"/>
      <c r="C15" s="8" t="n"/>
      <c r="D15" s="28" t="n"/>
      <c r="E15" s="8" t="n"/>
      <c r="F15" s="28" t="n"/>
      <c r="G15" s="28" t="n"/>
      <c r="H15" s="28" t="n"/>
    </row>
    <row r="16" ht="20" customHeight="1">
      <c r="A16" s="4" t="n">
        <v>14</v>
      </c>
      <c r="B16" s="7" t="n"/>
      <c r="C16" s="4" t="n"/>
      <c r="D16" s="29" t="n"/>
      <c r="E16" s="4" t="n"/>
      <c r="F16" s="29" t="n"/>
      <c r="G16" s="29" t="n"/>
      <c r="H16" s="29" t="n"/>
    </row>
    <row r="17" ht="20" customHeight="1">
      <c r="A17" s="8" t="n">
        <v>15</v>
      </c>
      <c r="B17" s="11" t="n"/>
      <c r="C17" s="8" t="n"/>
      <c r="D17" s="28" t="n"/>
      <c r="E17" s="8" t="n"/>
      <c r="F17" s="28" t="n"/>
      <c r="G17" s="28" t="n"/>
      <c r="H17" s="28" t="n"/>
    </row>
    <row r="18" ht="20" customHeight="1">
      <c r="A18" s="4" t="n">
        <v>16</v>
      </c>
      <c r="B18" s="7" t="n"/>
      <c r="C18" s="4" t="n"/>
      <c r="D18" s="29" t="n"/>
      <c r="E18" s="4" t="n"/>
      <c r="F18" s="29" t="n"/>
      <c r="G18" s="29" t="n"/>
      <c r="H18" s="29" t="n"/>
    </row>
    <row r="19" ht="20" customHeight="1">
      <c r="A19" s="8" t="n">
        <v>17</v>
      </c>
      <c r="B19" s="11" t="n"/>
      <c r="C19" s="8" t="n"/>
      <c r="D19" s="28" t="n"/>
      <c r="E19" s="8" t="n"/>
      <c r="F19" s="28" t="n"/>
      <c r="G19" s="28" t="n"/>
      <c r="H19" s="28" t="n"/>
    </row>
    <row r="20" ht="20" customHeight="1">
      <c r="A20" s="4" t="n">
        <v>18</v>
      </c>
      <c r="B20" s="7" t="n"/>
      <c r="C20" s="4" t="n"/>
      <c r="D20" s="29" t="n"/>
      <c r="E20" s="4" t="n"/>
      <c r="F20" s="29" t="n"/>
      <c r="G20" s="29" t="n"/>
      <c r="H20" s="29" t="n"/>
    </row>
    <row r="21" ht="20" customHeight="1">
      <c r="A21" s="8" t="n">
        <v>19</v>
      </c>
      <c r="B21" s="11" t="n"/>
      <c r="C21" s="8" t="n"/>
      <c r="D21" s="28" t="n"/>
      <c r="E21" s="8" t="n"/>
      <c r="F21" s="28" t="n"/>
      <c r="G21" s="28" t="n"/>
      <c r="H21" s="28" t="n"/>
    </row>
    <row r="22" ht="20" customHeight="1">
      <c r="A22" s="4" t="n">
        <v>20</v>
      </c>
      <c r="B22" s="7" t="n"/>
      <c r="C22" s="4" t="n"/>
      <c r="D22" s="29" t="n"/>
      <c r="E22" s="4" t="n"/>
      <c r="F22" s="29" t="n"/>
      <c r="G22" s="29" t="n"/>
      <c r="H22" s="29" t="n"/>
    </row>
    <row r="23" ht="20" customHeight="1">
      <c r="A23" s="8" t="n">
        <v>21</v>
      </c>
      <c r="B23" s="11" t="n"/>
      <c r="C23" s="8" t="n"/>
      <c r="D23" s="28" t="n"/>
      <c r="E23" s="8" t="n"/>
      <c r="F23" s="28" t="n"/>
      <c r="G23" s="28" t="n"/>
      <c r="H23" s="28" t="n"/>
    </row>
    <row r="24" ht="20" customHeight="1">
      <c r="A24" s="4" t="n">
        <v>22</v>
      </c>
      <c r="B24" s="7" t="n"/>
      <c r="C24" s="4" t="n"/>
      <c r="D24" s="29" t="n"/>
      <c r="E24" s="4" t="n"/>
      <c r="F24" s="29" t="n"/>
      <c r="G24" s="29" t="n"/>
      <c r="H24" s="29" t="n"/>
    </row>
    <row r="25" ht="20" customHeight="1">
      <c r="A25" s="8" t="n">
        <v>23</v>
      </c>
      <c r="B25" s="11" t="n"/>
      <c r="C25" s="8" t="n"/>
      <c r="D25" s="28" t="n"/>
      <c r="E25" s="8" t="n"/>
      <c r="F25" s="28" t="n"/>
      <c r="G25" s="28" t="n"/>
      <c r="H25" s="28" t="n"/>
    </row>
    <row r="26" ht="20" customHeight="1">
      <c r="A26" s="4" t="n">
        <v>24</v>
      </c>
      <c r="B26" s="7" t="n"/>
      <c r="C26" s="4" t="n"/>
      <c r="D26" s="29" t="n"/>
      <c r="E26" s="4" t="n"/>
      <c r="F26" s="29" t="n"/>
      <c r="G26" s="29" t="n"/>
      <c r="H26" s="29" t="n"/>
    </row>
    <row r="27" ht="20" customHeight="1">
      <c r="A27" s="8" t="n">
        <v>25</v>
      </c>
      <c r="B27" s="11" t="n"/>
      <c r="C27" s="8" t="n"/>
      <c r="D27" s="28" t="n"/>
      <c r="E27" s="8" t="n"/>
      <c r="F27" s="28" t="n"/>
      <c r="G27" s="28" t="n"/>
      <c r="H27" s="28" t="n"/>
    </row>
    <row r="28" ht="20" customHeight="1">
      <c r="A28" s="4" t="n">
        <v>26</v>
      </c>
      <c r="B28" s="7" t="n"/>
      <c r="C28" s="4" t="n"/>
      <c r="D28" s="29" t="n"/>
      <c r="E28" s="4" t="n"/>
      <c r="F28" s="29" t="n"/>
      <c r="G28" s="29" t="n"/>
      <c r="H28" s="29" t="n"/>
    </row>
    <row r="29" ht="20" customHeight="1">
      <c r="A29" s="8" t="n">
        <v>27</v>
      </c>
      <c r="B29" s="11" t="n"/>
      <c r="C29" s="8" t="n"/>
      <c r="D29" s="28" t="n"/>
      <c r="E29" s="8" t="n"/>
      <c r="F29" s="28" t="n"/>
      <c r="G29" s="28" t="n"/>
      <c r="H29" s="28" t="n"/>
    </row>
    <row r="30" ht="20" customHeight="1">
      <c r="A30" s="4" t="n">
        <v>28</v>
      </c>
      <c r="B30" s="7" t="n"/>
      <c r="C30" s="4" t="n"/>
      <c r="D30" s="29" t="n"/>
      <c r="E30" s="4" t="n"/>
      <c r="F30" s="29" t="n"/>
      <c r="G30" s="29" t="n"/>
      <c r="H30" s="29" t="n"/>
    </row>
    <row r="31" ht="20" customHeight="1">
      <c r="A31" s="8" t="n">
        <v>29</v>
      </c>
      <c r="B31" s="11" t="n"/>
      <c r="C31" s="8" t="n"/>
      <c r="D31" s="28" t="n"/>
      <c r="E31" s="8" t="n"/>
      <c r="F31" s="28" t="n"/>
      <c r="G31" s="28" t="n"/>
      <c r="H31" s="28" t="n"/>
    </row>
    <row r="32" ht="20" customHeight="1">
      <c r="A32" s="4" t="n">
        <v>30</v>
      </c>
      <c r="B32" s="7" t="n"/>
      <c r="C32" s="4" t="n"/>
      <c r="D32" s="29" t="n"/>
      <c r="E32" s="4" t="n"/>
      <c r="F32" s="29" t="n"/>
      <c r="G32" s="29" t="n"/>
      <c r="H32" s="29" t="n"/>
    </row>
    <row r="33" ht="20" customHeight="1">
      <c r="A33" s="8" t="n">
        <v>31</v>
      </c>
      <c r="B33" s="11" t="n"/>
      <c r="C33" s="8" t="n"/>
      <c r="D33" s="28" t="n"/>
      <c r="E33" s="8" t="n"/>
      <c r="F33" s="28" t="n"/>
      <c r="G33" s="28" t="n"/>
      <c r="H33" s="28" t="n"/>
    </row>
    <row r="34" ht="20" customHeight="1">
      <c r="A34" s="4" t="n">
        <v>32</v>
      </c>
      <c r="B34" s="7" t="n"/>
      <c r="C34" s="4" t="n"/>
      <c r="D34" s="29" t="n"/>
      <c r="E34" s="4" t="n"/>
      <c r="F34" s="29" t="n"/>
      <c r="G34" s="29" t="n"/>
      <c r="H34" s="29" t="n"/>
    </row>
    <row r="35" ht="20" customHeight="1">
      <c r="A35" s="8" t="n">
        <v>33</v>
      </c>
      <c r="B35" s="11" t="n"/>
      <c r="C35" s="8" t="n"/>
      <c r="D35" s="28" t="n"/>
      <c r="E35" s="8" t="n"/>
      <c r="F35" s="28" t="n"/>
      <c r="G35" s="28" t="n"/>
      <c r="H35" s="28" t="n"/>
    </row>
    <row r="36" ht="20" customHeight="1">
      <c r="A36" s="4" t="n">
        <v>34</v>
      </c>
      <c r="B36" s="7" t="n"/>
      <c r="C36" s="4" t="n"/>
      <c r="D36" s="29" t="n"/>
      <c r="E36" s="4" t="n"/>
      <c r="F36" s="29" t="n"/>
      <c r="G36" s="29" t="n"/>
      <c r="H36" s="29" t="n"/>
    </row>
    <row r="37" ht="20" customHeight="1">
      <c r="A37" s="8" t="n">
        <v>35</v>
      </c>
      <c r="B37" s="11" t="n"/>
      <c r="C37" s="8" t="n"/>
      <c r="D37" s="28" t="n"/>
      <c r="E37" s="8" t="n"/>
      <c r="F37" s="28" t="n"/>
      <c r="G37" s="28" t="n"/>
      <c r="H37" s="28" t="n"/>
    </row>
    <row r="38" ht="20" customHeight="1">
      <c r="A38" s="4" t="n">
        <v>36</v>
      </c>
      <c r="B38" s="7" t="n"/>
      <c r="C38" s="4" t="n"/>
      <c r="D38" s="29" t="n"/>
      <c r="E38" s="4" t="n"/>
      <c r="F38" s="29" t="n"/>
      <c r="G38" s="29" t="n"/>
      <c r="H38" s="29" t="n"/>
    </row>
    <row r="39" ht="20" customHeight="1">
      <c r="A39" s="8" t="n">
        <v>37</v>
      </c>
      <c r="B39" s="11" t="n"/>
      <c r="C39" s="8" t="n"/>
      <c r="D39" s="28" t="n"/>
      <c r="E39" s="8" t="n"/>
      <c r="F39" s="28" t="n"/>
      <c r="G39" s="28" t="n"/>
      <c r="H39" s="28" t="n"/>
    </row>
    <row r="40" ht="20" customHeight="1">
      <c r="A40" s="4" t="n">
        <v>38</v>
      </c>
      <c r="B40" s="7" t="n"/>
      <c r="C40" s="4" t="n"/>
      <c r="D40" s="29" t="n"/>
      <c r="E40" s="4" t="n"/>
      <c r="F40" s="29" t="n"/>
      <c r="G40" s="29" t="n"/>
      <c r="H40" s="29" t="n"/>
    </row>
    <row r="41" ht="20" customHeight="1">
      <c r="A41" s="8" t="n">
        <v>39</v>
      </c>
      <c r="B41" s="11" t="n"/>
      <c r="C41" s="8" t="n"/>
      <c r="D41" s="28" t="n"/>
      <c r="E41" s="8" t="n"/>
      <c r="F41" s="28" t="n"/>
      <c r="G41" s="28" t="n"/>
      <c r="H41" s="28" t="n"/>
    </row>
    <row r="42" ht="20" customHeight="1">
      <c r="A42" s="4" t="n">
        <v>40</v>
      </c>
      <c r="B42" s="7" t="n"/>
      <c r="C42" s="4" t="n"/>
      <c r="D42" s="29" t="n"/>
      <c r="E42" s="4" t="n"/>
      <c r="F42" s="29" t="n"/>
      <c r="G42" s="29" t="n"/>
      <c r="H42" s="29" t="n"/>
    </row>
    <row r="43" ht="20" customHeight="1">
      <c r="A43" s="8" t="n">
        <v>41</v>
      </c>
      <c r="B43" s="11" t="n"/>
      <c r="C43" s="8" t="n"/>
      <c r="D43" s="28" t="n"/>
      <c r="E43" s="8" t="n"/>
      <c r="F43" s="28" t="n"/>
      <c r="G43" s="28" t="n"/>
      <c r="H43" s="28" t="n"/>
    </row>
    <row r="44" ht="20" customHeight="1">
      <c r="A44" s="4" t="n">
        <v>42</v>
      </c>
      <c r="B44" s="7" t="n"/>
      <c r="C44" s="4" t="n"/>
      <c r="D44" s="29" t="n"/>
      <c r="E44" s="4" t="n"/>
      <c r="F44" s="29" t="n"/>
      <c r="G44" s="29" t="n"/>
      <c r="H44" s="29" t="n"/>
    </row>
    <row r="45" ht="20" customHeight="1">
      <c r="A45" s="8" t="n">
        <v>43</v>
      </c>
      <c r="B45" s="11" t="n"/>
      <c r="C45" s="8" t="n"/>
      <c r="D45" s="28" t="n"/>
      <c r="E45" s="8" t="n"/>
      <c r="F45" s="28" t="n"/>
      <c r="G45" s="28" t="n"/>
      <c r="H45" s="28" t="n"/>
    </row>
    <row r="46" ht="20" customHeight="1">
      <c r="A46" s="4" t="n">
        <v>44</v>
      </c>
      <c r="B46" s="7" t="n"/>
      <c r="C46" s="4" t="n"/>
      <c r="D46" s="29" t="n"/>
      <c r="E46" s="4" t="n"/>
      <c r="F46" s="29" t="n"/>
      <c r="G46" s="29" t="n"/>
      <c r="H46" s="29" t="n"/>
    </row>
    <row r="47" ht="20" customHeight="1">
      <c r="A47" s="8" t="n">
        <v>45</v>
      </c>
      <c r="B47" s="11" t="n"/>
      <c r="C47" s="8" t="n"/>
      <c r="D47" s="28" t="n"/>
      <c r="E47" s="8" t="n"/>
      <c r="F47" s="28" t="n"/>
      <c r="G47" s="28" t="n"/>
      <c r="H47" s="28" t="n"/>
    </row>
    <row r="48" ht="20" customHeight="1">
      <c r="A48" s="4" t="n">
        <v>46</v>
      </c>
      <c r="B48" s="7" t="n"/>
      <c r="C48" s="4" t="n"/>
      <c r="D48" s="29" t="n"/>
      <c r="E48" s="4" t="n"/>
      <c r="F48" s="29" t="n"/>
      <c r="G48" s="29" t="n"/>
      <c r="H48" s="29" t="n"/>
    </row>
    <row r="49" ht="20" customHeight="1">
      <c r="A49" s="8" t="n">
        <v>47</v>
      </c>
      <c r="B49" s="11" t="n"/>
      <c r="C49" s="8" t="n"/>
      <c r="D49" s="28" t="n"/>
      <c r="E49" s="8" t="n"/>
      <c r="F49" s="28" t="n"/>
      <c r="G49" s="28" t="n"/>
      <c r="H49" s="28" t="n"/>
    </row>
    <row r="50" ht="20" customHeight="1">
      <c r="A50" s="4" t="n">
        <v>48</v>
      </c>
      <c r="B50" s="7" t="n"/>
      <c r="C50" s="4" t="n"/>
      <c r="D50" s="29" t="n"/>
      <c r="E50" s="4" t="n"/>
      <c r="F50" s="29" t="n"/>
      <c r="G50" s="29" t="n"/>
      <c r="H50" s="29" t="n"/>
    </row>
    <row r="51" ht="20" customHeight="1">
      <c r="A51" s="8" t="n">
        <v>49</v>
      </c>
      <c r="B51" s="11" t="n"/>
      <c r="C51" s="8" t="n"/>
      <c r="D51" s="28" t="n"/>
      <c r="E51" s="8" t="n"/>
      <c r="F51" s="28" t="n"/>
      <c r="G51" s="28" t="n"/>
      <c r="H51" s="28" t="n"/>
    </row>
    <row r="52" ht="20" customHeight="1">
      <c r="A52" s="4" t="n">
        <v>50</v>
      </c>
      <c r="B52" s="7" t="n"/>
      <c r="C52" s="4" t="n"/>
      <c r="D52" s="29" t="n"/>
      <c r="E52" s="4" t="n"/>
      <c r="F52" s="29" t="n"/>
      <c r="G52" s="29" t="n"/>
      <c r="H52" s="29" t="n"/>
    </row>
    <row r="53" ht="20" customHeight="1">
      <c r="A53" s="8" t="n">
        <v>51</v>
      </c>
      <c r="B53" s="11" t="n"/>
      <c r="C53" s="8" t="n"/>
      <c r="D53" s="28" t="n"/>
      <c r="E53" s="8" t="n"/>
      <c r="F53" s="28" t="n"/>
      <c r="G53" s="28" t="n"/>
      <c r="H53" s="28" t="n"/>
    </row>
    <row r="54" ht="20" customHeight="1">
      <c r="A54" s="4" t="n">
        <v>52</v>
      </c>
      <c r="B54" s="7" t="n"/>
      <c r="C54" s="4" t="n"/>
      <c r="D54" s="29" t="n"/>
      <c r="E54" s="4" t="n"/>
      <c r="F54" s="29" t="n"/>
      <c r="G54" s="29" t="n"/>
      <c r="H54" s="29" t="n"/>
    </row>
    <row r="55" ht="20" customHeight="1">
      <c r="A55" s="8" t="n">
        <v>53</v>
      </c>
      <c r="B55" s="11" t="n"/>
      <c r="C55" s="8" t="n"/>
      <c r="D55" s="28" t="n"/>
      <c r="E55" s="8" t="n"/>
      <c r="F55" s="28" t="n"/>
      <c r="G55" s="28" t="n"/>
      <c r="H55" s="28" t="n"/>
    </row>
    <row r="56" ht="20" customHeight="1">
      <c r="A56" s="4" t="n">
        <v>54</v>
      </c>
      <c r="B56" s="7" t="n"/>
      <c r="C56" s="4" t="n"/>
      <c r="D56" s="29" t="n"/>
      <c r="E56" s="4" t="n"/>
      <c r="F56" s="29" t="n"/>
      <c r="G56" s="29" t="n"/>
      <c r="H56" s="29" t="n"/>
    </row>
    <row r="57" ht="20" customHeight="1">
      <c r="A57" s="8" t="n">
        <v>55</v>
      </c>
      <c r="B57" s="11" t="n"/>
      <c r="C57" s="8" t="n"/>
      <c r="D57" s="28" t="n"/>
      <c r="E57" s="8" t="n"/>
      <c r="F57" s="28" t="n"/>
      <c r="G57" s="28" t="n"/>
      <c r="H57" s="28" t="n"/>
    </row>
    <row r="58" ht="20" customHeight="1">
      <c r="A58" s="4" t="n">
        <v>56</v>
      </c>
      <c r="B58" s="7" t="n"/>
      <c r="C58" s="4" t="n"/>
      <c r="D58" s="29" t="n"/>
      <c r="E58" s="4" t="n"/>
      <c r="F58" s="29" t="n"/>
      <c r="G58" s="29" t="n"/>
      <c r="H58" s="29" t="n"/>
    </row>
    <row r="59" ht="20" customHeight="1">
      <c r="A59" s="8" t="n">
        <v>57</v>
      </c>
      <c r="B59" s="11" t="n"/>
      <c r="C59" s="8" t="n"/>
      <c r="D59" s="28" t="n"/>
      <c r="E59" s="8" t="n"/>
      <c r="F59" s="28" t="n"/>
      <c r="G59" s="28" t="n"/>
      <c r="H59" s="28" t="n"/>
    </row>
    <row r="60" ht="20" customHeight="1">
      <c r="A60" s="4" t="n">
        <v>58</v>
      </c>
      <c r="B60" s="7" t="n"/>
      <c r="C60" s="4" t="n"/>
      <c r="D60" s="29" t="n"/>
      <c r="E60" s="4" t="n"/>
      <c r="F60" s="29" t="n"/>
      <c r="G60" s="29" t="n"/>
      <c r="H60" s="29" t="n"/>
    </row>
    <row r="61" ht="20" customHeight="1">
      <c r="A61" s="8" t="n">
        <v>59</v>
      </c>
      <c r="B61" s="11" t="n"/>
      <c r="C61" s="8" t="n"/>
      <c r="D61" s="28" t="n"/>
      <c r="E61" s="8" t="n"/>
      <c r="F61" s="28" t="n"/>
      <c r="G61" s="28" t="n"/>
      <c r="H61" s="28" t="n"/>
    </row>
    <row r="62" ht="20" customHeight="1">
      <c r="A62" s="4" t="n">
        <v>60</v>
      </c>
      <c r="B62" s="7" t="n"/>
      <c r="C62" s="4" t="n"/>
      <c r="D62" s="29" t="n"/>
      <c r="E62" s="4" t="n"/>
      <c r="F62" s="29" t="n"/>
      <c r="G62" s="29" t="n"/>
      <c r="H62" s="29" t="n"/>
    </row>
    <row r="63" ht="20" customHeight="1">
      <c r="A63" s="8" t="n">
        <v>61</v>
      </c>
      <c r="B63" s="11" t="n"/>
      <c r="C63" s="8" t="n"/>
      <c r="D63" s="28" t="n"/>
      <c r="E63" s="8" t="n"/>
      <c r="F63" s="28" t="n"/>
      <c r="G63" s="28" t="n"/>
      <c r="H63" s="28" t="n"/>
    </row>
    <row r="64" ht="20" customHeight="1">
      <c r="A64" s="4" t="n">
        <v>62</v>
      </c>
      <c r="B64" s="7" t="n"/>
      <c r="C64" s="4" t="n"/>
      <c r="D64" s="29" t="n"/>
      <c r="E64" s="4" t="n"/>
      <c r="F64" s="29" t="n"/>
      <c r="G64" s="29" t="n"/>
      <c r="H64" s="29" t="n"/>
    </row>
    <row r="65" ht="20" customHeight="1">
      <c r="A65" s="8" t="n">
        <v>63</v>
      </c>
      <c r="B65" s="11" t="n"/>
      <c r="C65" s="8" t="n"/>
      <c r="D65" s="28" t="n"/>
      <c r="E65" s="8" t="n"/>
      <c r="F65" s="28" t="n"/>
      <c r="G65" s="28" t="n"/>
      <c r="H65" s="28" t="n"/>
    </row>
    <row r="66" ht="20" customHeight="1">
      <c r="A66" s="4" t="n">
        <v>64</v>
      </c>
      <c r="B66" s="7" t="n"/>
      <c r="C66" s="4" t="n"/>
      <c r="D66" s="29" t="n"/>
      <c r="E66" s="4" t="n"/>
      <c r="F66" s="29" t="n"/>
      <c r="G66" s="29" t="n"/>
      <c r="H66" s="29" t="n"/>
    </row>
    <row r="67" ht="20" customHeight="1">
      <c r="A67" s="8" t="n">
        <v>65</v>
      </c>
      <c r="B67" s="11" t="n"/>
      <c r="C67" s="8" t="n"/>
      <c r="D67" s="28" t="n"/>
      <c r="E67" s="8" t="n"/>
      <c r="F67" s="28" t="n"/>
      <c r="G67" s="28" t="n"/>
      <c r="H67" s="28" t="n"/>
    </row>
    <row r="68" ht="20" customHeight="1">
      <c r="A68" s="4" t="n">
        <v>66</v>
      </c>
      <c r="B68" s="7" t="n"/>
      <c r="C68" s="4" t="n"/>
      <c r="D68" s="29" t="n"/>
      <c r="E68" s="4" t="n"/>
      <c r="F68" s="29" t="n"/>
      <c r="G68" s="29" t="n"/>
      <c r="H68" s="29" t="n"/>
    </row>
    <row r="69" ht="20" customHeight="1">
      <c r="A69" s="8" t="n">
        <v>67</v>
      </c>
      <c r="B69" s="11" t="n"/>
      <c r="C69" s="8" t="n"/>
      <c r="D69" s="28" t="n"/>
      <c r="E69" s="8" t="n"/>
      <c r="F69" s="28" t="n"/>
      <c r="G69" s="28" t="n"/>
      <c r="H69" s="28" t="n"/>
    </row>
    <row r="70" ht="20" customHeight="1">
      <c r="A70" s="4" t="n">
        <v>68</v>
      </c>
      <c r="B70" s="7" t="n"/>
      <c r="C70" s="4" t="n"/>
      <c r="D70" s="29" t="n"/>
      <c r="E70" s="4" t="n"/>
      <c r="F70" s="29" t="n"/>
      <c r="G70" s="29" t="n"/>
      <c r="H70" s="29" t="n"/>
    </row>
    <row r="71" ht="20" customHeight="1">
      <c r="A71" s="8" t="n">
        <v>69</v>
      </c>
      <c r="B71" s="11" t="n"/>
      <c r="C71" s="8" t="n"/>
      <c r="D71" s="28" t="n"/>
      <c r="E71" s="8" t="n"/>
      <c r="F71" s="28" t="n"/>
      <c r="G71" s="28" t="n"/>
      <c r="H71" s="28" t="n"/>
    </row>
    <row r="72" ht="20" customHeight="1">
      <c r="A72" s="4" t="n">
        <v>70</v>
      </c>
      <c r="B72" s="7" t="n"/>
      <c r="C72" s="4" t="n"/>
      <c r="D72" s="29" t="n"/>
      <c r="E72" s="4" t="n"/>
      <c r="F72" s="29" t="n"/>
      <c r="G72" s="29" t="n"/>
      <c r="H72" s="29" t="n"/>
    </row>
    <row r="73" ht="20" customHeight="1">
      <c r="A73" s="8" t="n">
        <v>71</v>
      </c>
      <c r="B73" s="11" t="n"/>
      <c r="C73" s="8" t="n"/>
      <c r="D73" s="28" t="n"/>
      <c r="E73" s="8" t="n"/>
      <c r="F73" s="28" t="n"/>
      <c r="G73" s="28" t="n"/>
      <c r="H73" s="28" t="n"/>
    </row>
    <row r="74" ht="20" customHeight="1">
      <c r="A74" s="4" t="n">
        <v>72</v>
      </c>
      <c r="B74" s="7" t="n"/>
      <c r="C74" s="4" t="n"/>
      <c r="D74" s="29" t="n"/>
      <c r="E74" s="4" t="n"/>
      <c r="F74" s="29" t="n"/>
      <c r="G74" s="29" t="n"/>
      <c r="H74" s="29" t="n"/>
    </row>
    <row r="75" ht="20" customHeight="1">
      <c r="A75" s="8" t="n">
        <v>73</v>
      </c>
      <c r="B75" s="11" t="n"/>
      <c r="C75" s="8" t="n"/>
      <c r="D75" s="28" t="n"/>
      <c r="E75" s="8" t="n"/>
      <c r="F75" s="28" t="n"/>
      <c r="G75" s="28" t="n"/>
      <c r="H75" s="28" t="n"/>
    </row>
    <row r="76" ht="20" customHeight="1">
      <c r="A76" s="4" t="n">
        <v>74</v>
      </c>
      <c r="B76" s="7" t="n"/>
      <c r="C76" s="4" t="n"/>
      <c r="D76" s="29" t="n"/>
      <c r="E76" s="4" t="n"/>
      <c r="F76" s="29" t="n"/>
      <c r="G76" s="29" t="n"/>
      <c r="H76" s="29" t="n"/>
    </row>
    <row r="77" ht="20" customHeight="1">
      <c r="A77" s="8" t="n">
        <v>75</v>
      </c>
      <c r="B77" s="11" t="n"/>
      <c r="C77" s="8" t="n"/>
      <c r="D77" s="28" t="n"/>
      <c r="E77" s="8" t="n"/>
      <c r="F77" s="28" t="n"/>
      <c r="G77" s="28" t="n"/>
      <c r="H77" s="28" t="n"/>
    </row>
    <row r="78" ht="20" customHeight="1">
      <c r="A78" s="4" t="n">
        <v>76</v>
      </c>
      <c r="B78" s="7" t="n"/>
      <c r="C78" s="4" t="n"/>
      <c r="D78" s="29" t="n"/>
      <c r="E78" s="4" t="n"/>
      <c r="F78" s="29" t="n"/>
      <c r="G78" s="29" t="n"/>
      <c r="H78" s="29" t="n"/>
    </row>
    <row r="79" ht="20" customHeight="1">
      <c r="A79" s="8" t="n">
        <v>77</v>
      </c>
      <c r="B79" s="11" t="n"/>
      <c r="C79" s="8" t="n"/>
      <c r="D79" s="28" t="n"/>
      <c r="E79" s="8" t="n"/>
      <c r="F79" s="28" t="n"/>
      <c r="G79" s="28" t="n"/>
      <c r="H79" s="28" t="n"/>
    </row>
    <row r="80" ht="20" customHeight="1">
      <c r="A80" s="4" t="n">
        <v>78</v>
      </c>
      <c r="B80" s="7" t="n"/>
      <c r="C80" s="4" t="n"/>
      <c r="D80" s="29" t="n"/>
      <c r="E80" s="4" t="n"/>
      <c r="F80" s="29" t="n"/>
      <c r="G80" s="29" t="n"/>
      <c r="H80" s="29" t="n"/>
    </row>
    <row r="81" ht="20" customHeight="1">
      <c r="A81" s="8" t="n">
        <v>79</v>
      </c>
      <c r="B81" s="11" t="n"/>
      <c r="C81" s="8" t="n"/>
      <c r="D81" s="28" t="n"/>
      <c r="E81" s="8" t="n"/>
      <c r="F81" s="28" t="n"/>
      <c r="G81" s="28" t="n"/>
      <c r="H81" s="28" t="n"/>
    </row>
    <row r="82" ht="20" customHeight="1">
      <c r="A82" s="4" t="n">
        <v>80</v>
      </c>
      <c r="B82" s="7" t="n"/>
      <c r="C82" s="4" t="n"/>
      <c r="D82" s="29" t="n"/>
      <c r="E82" s="4" t="n"/>
      <c r="F82" s="29" t="n"/>
      <c r="G82" s="29" t="n"/>
      <c r="H82" s="29" t="n"/>
    </row>
    <row r="83" ht="20" customHeight="1">
      <c r="A83" s="8" t="n">
        <v>81</v>
      </c>
      <c r="B83" s="11" t="n"/>
      <c r="C83" s="8" t="n"/>
      <c r="D83" s="28" t="n"/>
      <c r="E83" s="8" t="n"/>
      <c r="F83" s="28" t="n"/>
      <c r="G83" s="28" t="n"/>
      <c r="H83" s="28" t="n"/>
    </row>
    <row r="84" ht="20" customHeight="1">
      <c r="A84" s="4" t="n">
        <v>82</v>
      </c>
      <c r="B84" s="7" t="n"/>
      <c r="C84" s="4" t="n"/>
      <c r="D84" s="29" t="n"/>
      <c r="E84" s="4" t="n"/>
      <c r="F84" s="29" t="n"/>
      <c r="G84" s="29" t="n"/>
      <c r="H84" s="29" t="n"/>
    </row>
    <row r="85" ht="20" customHeight="1">
      <c r="A85" s="8" t="n">
        <v>83</v>
      </c>
      <c r="B85" s="11" t="n"/>
      <c r="C85" s="8" t="n"/>
      <c r="D85" s="28" t="n"/>
      <c r="E85" s="8" t="n"/>
      <c r="F85" s="28" t="n"/>
      <c r="G85" s="28" t="n"/>
      <c r="H85" s="28" t="n"/>
    </row>
    <row r="86" ht="20" customHeight="1">
      <c r="A86" s="4" t="n">
        <v>84</v>
      </c>
      <c r="B86" s="7" t="n"/>
      <c r="C86" s="4" t="n"/>
      <c r="D86" s="29" t="n"/>
      <c r="E86" s="4" t="n"/>
      <c r="F86" s="29" t="n"/>
      <c r="G86" s="29" t="n"/>
      <c r="H86" s="29" t="n"/>
    </row>
    <row r="87" ht="20" customHeight="1">
      <c r="A87" s="8" t="n">
        <v>85</v>
      </c>
      <c r="B87" s="11" t="n"/>
      <c r="C87" s="8" t="n"/>
      <c r="D87" s="28" t="n"/>
      <c r="E87" s="8" t="n"/>
      <c r="F87" s="28" t="n"/>
      <c r="G87" s="28" t="n"/>
      <c r="H87" s="28" t="n"/>
    </row>
    <row r="88" ht="20" customHeight="1">
      <c r="A88" s="4" t="n">
        <v>86</v>
      </c>
      <c r="B88" s="7" t="n"/>
      <c r="C88" s="4" t="n"/>
      <c r="D88" s="29" t="n"/>
      <c r="E88" s="4" t="n"/>
      <c r="F88" s="29" t="n"/>
      <c r="G88" s="29" t="n"/>
      <c r="H88" s="29" t="n"/>
    </row>
    <row r="89" ht="20" customHeight="1">
      <c r="A89" s="8" t="n">
        <v>87</v>
      </c>
      <c r="B89" s="11" t="n"/>
      <c r="C89" s="8" t="n"/>
      <c r="D89" s="28" t="n"/>
      <c r="E89" s="8" t="n"/>
      <c r="F89" s="28" t="n"/>
      <c r="G89" s="28" t="n"/>
      <c r="H89" s="28" t="n"/>
    </row>
    <row r="90" ht="20" customHeight="1">
      <c r="A90" s="4" t="n">
        <v>88</v>
      </c>
      <c r="B90" s="7" t="n"/>
      <c r="C90" s="4" t="n"/>
      <c r="D90" s="29" t="n"/>
      <c r="E90" s="4" t="n"/>
      <c r="F90" s="29" t="n"/>
      <c r="G90" s="29" t="n"/>
      <c r="H90" s="29" t="n"/>
    </row>
    <row r="91" ht="20" customHeight="1">
      <c r="A91" s="8" t="n">
        <v>89</v>
      </c>
      <c r="B91" s="11" t="n"/>
      <c r="C91" s="8" t="n"/>
      <c r="D91" s="28" t="n"/>
      <c r="E91" s="8" t="n"/>
      <c r="F91" s="28" t="n"/>
      <c r="G91" s="28" t="n"/>
      <c r="H91" s="28" t="n"/>
    </row>
    <row r="92" ht="20" customHeight="1">
      <c r="A92" s="4" t="n">
        <v>90</v>
      </c>
      <c r="B92" s="7" t="n"/>
      <c r="C92" s="4" t="n"/>
      <c r="D92" s="29" t="n"/>
      <c r="E92" s="4" t="n"/>
      <c r="F92" s="29" t="n"/>
      <c r="G92" s="29" t="n"/>
      <c r="H92" s="29" t="n"/>
    </row>
    <row r="93" ht="20" customHeight="1">
      <c r="A93" s="8" t="n">
        <v>91</v>
      </c>
      <c r="B93" s="11" t="n"/>
      <c r="C93" s="8" t="n"/>
      <c r="D93" s="28" t="n"/>
      <c r="E93" s="8" t="n"/>
      <c r="F93" s="28" t="n"/>
      <c r="G93" s="28" t="n"/>
      <c r="H93" s="28" t="n"/>
    </row>
    <row r="94" ht="20" customHeight="1">
      <c r="A94" s="4" t="n">
        <v>92</v>
      </c>
      <c r="B94" s="7" t="n"/>
      <c r="C94" s="4" t="n"/>
      <c r="D94" s="29" t="n"/>
      <c r="E94" s="4" t="n"/>
      <c r="F94" s="29" t="n"/>
      <c r="G94" s="29" t="n"/>
      <c r="H94" s="29" t="n"/>
    </row>
    <row r="95" ht="20" customHeight="1">
      <c r="A95" s="8" t="n">
        <v>93</v>
      </c>
      <c r="B95" s="11" t="n"/>
      <c r="C95" s="8" t="n"/>
      <c r="D95" s="28" t="n"/>
      <c r="E95" s="8" t="n"/>
      <c r="F95" s="28" t="n"/>
      <c r="G95" s="28" t="n"/>
      <c r="H95" s="28" t="n"/>
    </row>
    <row r="96" ht="20" customHeight="1">
      <c r="A96" s="4" t="n">
        <v>94</v>
      </c>
      <c r="B96" s="7" t="n"/>
      <c r="C96" s="4" t="n"/>
      <c r="D96" s="29" t="n"/>
      <c r="E96" s="4" t="n"/>
      <c r="F96" s="29" t="n"/>
      <c r="G96" s="29" t="n"/>
      <c r="H96" s="29" t="n"/>
    </row>
    <row r="97" ht="20" customHeight="1">
      <c r="A97" s="8" t="n">
        <v>95</v>
      </c>
      <c r="B97" s="11" t="n"/>
      <c r="C97" s="8" t="n"/>
      <c r="D97" s="28" t="n"/>
      <c r="E97" s="8" t="n"/>
      <c r="F97" s="28" t="n"/>
      <c r="G97" s="28" t="n"/>
      <c r="H97" s="28" t="n"/>
    </row>
    <row r="98" ht="20" customHeight="1">
      <c r="A98" s="4" t="n">
        <v>96</v>
      </c>
      <c r="B98" s="7" t="n"/>
      <c r="C98" s="4" t="n"/>
      <c r="D98" s="29" t="n"/>
      <c r="E98" s="4" t="n"/>
      <c r="F98" s="29" t="n"/>
      <c r="G98" s="29" t="n"/>
      <c r="H98" s="29" t="n"/>
    </row>
    <row r="99" ht="20" customHeight="1">
      <c r="A99" s="8" t="n">
        <v>97</v>
      </c>
      <c r="B99" s="11" t="n"/>
      <c r="C99" s="8" t="n"/>
      <c r="D99" s="28" t="n"/>
      <c r="E99" s="8" t="n"/>
      <c r="F99" s="28" t="n"/>
      <c r="G99" s="28" t="n"/>
      <c r="H99" s="28" t="n"/>
    </row>
    <row r="100" ht="20" customHeight="1">
      <c r="A100" s="4" t="n">
        <v>98</v>
      </c>
      <c r="B100" s="7" t="n"/>
      <c r="C100" s="4" t="n"/>
      <c r="D100" s="29" t="n"/>
      <c r="E100" s="4" t="n"/>
      <c r="F100" s="29" t="n"/>
      <c r="G100" s="29" t="n"/>
      <c r="H100" s="29" t="n"/>
    </row>
    <row r="101" ht="20" customHeight="1">
      <c r="A101" s="8" t="n">
        <v>99</v>
      </c>
      <c r="B101" s="11" t="n"/>
      <c r="C101" s="8" t="n"/>
      <c r="D101" s="28" t="n"/>
      <c r="E101" s="8" t="n"/>
      <c r="F101" s="28" t="n"/>
      <c r="G101" s="28" t="n"/>
      <c r="H101" s="28" t="n"/>
    </row>
    <row r="102" ht="20" customHeight="1">
      <c r="A102" s="4" t="n">
        <v>100</v>
      </c>
      <c r="B102" s="7" t="n"/>
      <c r="C102" s="4" t="n"/>
      <c r="D102" s="29" t="n"/>
      <c r="E102" s="4" t="n"/>
      <c r="F102" s="29" t="n"/>
      <c r="G102" s="29" t="n"/>
      <c r="H102" s="29" t="n"/>
    </row>
  </sheetData>
  <mergeCells count="1">
    <mergeCell ref="A1:H1"/>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showDropDown="0" showInputMessage="0" showErrorMessage="0" allowBlank="1" type="list">
      <formula1>"Status Update,Priority Change,Date Change,Assignment Change,Description Update,New Task,Task Removed,Other"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ht="32" customHeight="1">
      <c r="A1" s="27" t="inlineStr">
        <is>
          <t>📌  Reference &amp; Legend</t>
        </is>
      </c>
    </row>
    <row r="3" ht="22" customHeight="1">
      <c r="A3" s="2" t="inlineStr">
        <is>
          <t>PRIORITY LEVELS</t>
        </is>
      </c>
      <c r="C3" s="2" t="inlineStr">
        <is>
          <t>TASK CATEGORIES</t>
        </is>
      </c>
    </row>
    <row r="4" ht="22" customHeight="1">
      <c r="A4" s="30" t="inlineStr">
        <is>
          <t>Critical</t>
        </is>
      </c>
      <c r="B4" s="10" t="inlineStr">
        <is>
          <t>Blocking – system down; resolve immediately</t>
        </is>
      </c>
      <c r="C4" s="16" t="inlineStr">
        <is>
          <t>Bug Fix</t>
        </is>
      </c>
      <c r="D4" s="10" t="inlineStr">
        <is>
          <t>Defect repair in existing functionality</t>
        </is>
      </c>
    </row>
    <row r="5" ht="22" customHeight="1">
      <c r="A5" s="31" t="inlineStr">
        <is>
          <t>High</t>
        </is>
      </c>
      <c r="B5" s="10" t="inlineStr">
        <is>
          <t>Major impact; resolve within 24–48 hours</t>
        </is>
      </c>
      <c r="C5" s="16" t="inlineStr">
        <is>
          <t>New Feature</t>
        </is>
      </c>
      <c r="D5" s="10" t="inlineStr">
        <is>
          <t>Brand-new functionality development</t>
        </is>
      </c>
    </row>
    <row r="6" ht="22" customHeight="1">
      <c r="A6" s="32" t="inlineStr">
        <is>
          <t>Medium</t>
        </is>
      </c>
      <c r="B6" s="10" t="inlineStr">
        <is>
          <t>Partial impact; resolve within the sprint</t>
        </is>
      </c>
      <c r="C6" s="16" t="inlineStr">
        <is>
          <t>Enhancement</t>
        </is>
      </c>
      <c r="D6" s="10" t="inlineStr">
        <is>
          <t>Improvement to an existing feature</t>
        </is>
      </c>
    </row>
    <row r="7" ht="22" customHeight="1">
      <c r="A7" s="33" t="inlineStr">
        <is>
          <t>Low</t>
        </is>
      </c>
      <c r="B7" s="10" t="inlineStr">
        <is>
          <t>Minor / cosmetic; resolve when bandwidth allows</t>
        </is>
      </c>
      <c r="C7" s="16" t="inlineStr">
        <is>
          <t>Performance</t>
        </is>
      </c>
      <c r="D7" s="10" t="inlineStr">
        <is>
          <t>Speed / resource optimisation</t>
        </is>
      </c>
    </row>
    <row r="8" ht="22" customHeight="1">
      <c r="C8" s="16" t="inlineStr">
        <is>
          <t>Security</t>
        </is>
      </c>
      <c r="D8" s="10" t="inlineStr">
        <is>
          <t>Vulnerability fix or security hardening</t>
        </is>
      </c>
    </row>
    <row r="9" ht="22" customHeight="1">
      <c r="A9" s="2" t="inlineStr">
        <is>
          <t>STATUS DESCRIPTIONS</t>
        </is>
      </c>
      <c r="C9" s="16" t="inlineStr">
        <is>
          <t>Content</t>
        </is>
      </c>
      <c r="D9" s="10" t="inlineStr">
        <is>
          <t>Text, media, or CMS content updates</t>
        </is>
      </c>
    </row>
    <row r="10" ht="22" customHeight="1">
      <c r="A10" s="34" t="inlineStr">
        <is>
          <t>Pending</t>
        </is>
      </c>
      <c r="B10" s="10" t="inlineStr">
        <is>
          <t>Not yet started in this environment</t>
        </is>
      </c>
      <c r="C10" s="16" t="inlineStr">
        <is>
          <t>Infrastructure</t>
        </is>
      </c>
      <c r="D10" s="10" t="inlineStr">
        <is>
          <t>Server, hosting, CI/CD, DevOps tasks</t>
        </is>
      </c>
    </row>
    <row r="11" ht="22" customHeight="1">
      <c r="A11" s="35" t="inlineStr">
        <is>
          <t>In Progress</t>
        </is>
      </c>
      <c r="B11" s="10" t="inlineStr">
        <is>
          <t>Being developed or deployed</t>
        </is>
      </c>
      <c r="C11" s="16" t="inlineStr">
        <is>
          <t>Database</t>
        </is>
      </c>
      <c r="D11" s="10" t="inlineStr">
        <is>
          <t>Schema changes, migrations, query tuning</t>
        </is>
      </c>
    </row>
    <row r="12" ht="22" customHeight="1">
      <c r="A12" s="36" t="inlineStr">
        <is>
          <t>Deployed</t>
        </is>
      </c>
      <c r="B12" s="10" t="inlineStr">
        <is>
          <t>Successfully deployed</t>
        </is>
      </c>
      <c r="C12" s="16" t="inlineStr">
        <is>
          <t>Integration</t>
        </is>
      </c>
      <c r="D12" s="10" t="inlineStr">
        <is>
          <t>Third-party API or service connections</t>
        </is>
      </c>
    </row>
    <row r="13" ht="22" customHeight="1">
      <c r="A13" s="37" t="inlineStr">
        <is>
          <t>Failed</t>
        </is>
      </c>
      <c r="B13" s="10" t="inlineStr">
        <is>
          <t>Deployment/execution failed</t>
        </is>
      </c>
      <c r="C13" s="16" t="inlineStr">
        <is>
          <t>Documentation</t>
        </is>
      </c>
      <c r="D13" s="10" t="inlineStr">
        <is>
          <t>Technical or user-facing documentation</t>
        </is>
      </c>
    </row>
    <row r="14" ht="22" customHeight="1">
      <c r="A14" s="38" t="inlineStr">
        <is>
          <t>Rolled Back</t>
        </is>
      </c>
      <c r="B14" s="10" t="inlineStr">
        <is>
          <t>Reverted to previous stable version</t>
        </is>
      </c>
    </row>
    <row r="15" ht="22" customHeight="1">
      <c r="A15" s="39" t="inlineStr">
        <is>
          <t>Hotfix Applied</t>
        </is>
      </c>
      <c r="B15" s="10" t="inlineStr">
        <is>
          <t>Emergency hotfix applied to production</t>
        </is>
      </c>
    </row>
  </sheetData>
  <mergeCells count="4">
    <mergeCell ref="A9:B9"/>
    <mergeCell ref="A1:D1"/>
    <mergeCell ref="C3:D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2026-05-11T06:26:03Z</dcterms:created>
  <dcterms:modified xsi:type="dcterms:W3CDTF">2026-05-11T06:26:03Z</dcterms:modified>
</cp:coreProperties>
</file>